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30C4C8E8-66EC-4EBA-A206-94FD1F53B1C3}" xr6:coauthVersionLast="47" xr6:coauthVersionMax="47" xr10:uidLastSave="{00000000-0000-0000-0000-000000000000}"/>
  <bookViews>
    <workbookView xWindow="-120" yWindow="-120" windowWidth="29040" windowHeight="15840" tabRatio="796" activeTab="6" xr2:uid="{00000000-000D-0000-FFFF-FFFF00000000}"/>
  </bookViews>
  <sheets>
    <sheet name="1-жадвал" sheetId="1" r:id="rId1"/>
    <sheet name="2-жадвал" sheetId="2" r:id="rId2"/>
    <sheet name="3-жадвал" sheetId="11" r:id="rId3"/>
    <sheet name="4-жадвал" sheetId="9" r:id="rId4"/>
    <sheet name="5-жадвал" sheetId="4" r:id="rId5"/>
    <sheet name="6-жадвал" sheetId="10" r:id="rId6"/>
    <sheet name="7-жадвал" sheetId="12" r:id="rId7"/>
    <sheet name="8-жадвал" sheetId="13" r:id="rId8"/>
    <sheet name="9-жадвал" sheetId="14" r:id="rId9"/>
    <sheet name="10-жадвал" sheetId="7" r:id="rId10"/>
    <sheet name="11-жадвал" sheetId="6" r:id="rId11"/>
    <sheet name="ПОР" sheetId="15" r:id="rId12"/>
    <sheet name="ПОР август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5" l="1"/>
  <c r="H16" i="15"/>
  <c r="G16" i="15"/>
  <c r="E16" i="15"/>
  <c r="E14" i="16"/>
  <c r="F14" i="16"/>
  <c r="G14" i="16"/>
  <c r="H14" i="16"/>
  <c r="I14" i="16"/>
  <c r="J14" i="16"/>
  <c r="K14" i="16"/>
  <c r="I14" i="1" l="1"/>
  <c r="C8" i="14" l="1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C9" i="10"/>
  <c r="D9" i="10"/>
  <c r="E9" i="10"/>
  <c r="E10" i="10" s="1"/>
  <c r="F9" i="10"/>
  <c r="F10" i="10" s="1"/>
  <c r="G9" i="10"/>
  <c r="G10" i="10" s="1"/>
  <c r="H9" i="10"/>
  <c r="H10" i="10" s="1"/>
  <c r="I9" i="10"/>
  <c r="I10" i="10" s="1"/>
  <c r="J9" i="10"/>
  <c r="J10" i="10" s="1"/>
  <c r="K9" i="10"/>
  <c r="K10" i="10" s="1"/>
  <c r="L9" i="10"/>
  <c r="L10" i="10" s="1"/>
  <c r="M9" i="10"/>
  <c r="M10" i="10" s="1"/>
  <c r="N9" i="10"/>
  <c r="N10" i="10" s="1"/>
  <c r="O9" i="10"/>
  <c r="O10" i="10" s="1"/>
  <c r="P9" i="10"/>
  <c r="P10" i="10" s="1"/>
  <c r="Q9" i="10"/>
  <c r="Q10" i="10" s="1"/>
  <c r="R9" i="10"/>
  <c r="R10" i="10" s="1"/>
  <c r="S9" i="10"/>
  <c r="S10" i="10" s="1"/>
  <c r="T9" i="10"/>
  <c r="T10" i="10" s="1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C8" i="11"/>
  <c r="C12" i="11" s="1"/>
  <c r="D8" i="11"/>
  <c r="E8" i="11"/>
  <c r="E12" i="11" s="1"/>
  <c r="F8" i="11"/>
  <c r="G8" i="11"/>
  <c r="G12" i="11" s="1"/>
  <c r="H8" i="11"/>
  <c r="I8" i="11"/>
  <c r="I12" i="11" s="1"/>
  <c r="J8" i="11"/>
  <c r="K8" i="11"/>
  <c r="K12" i="11" s="1"/>
  <c r="L8" i="11"/>
  <c r="M8" i="11"/>
  <c r="M12" i="11" s="1"/>
  <c r="N8" i="11"/>
  <c r="O8" i="11"/>
  <c r="O12" i="11" s="1"/>
  <c r="P8" i="11"/>
  <c r="C8" i="2"/>
  <c r="C12" i="2" s="1"/>
  <c r="D8" i="2"/>
  <c r="D12" i="2" s="1"/>
  <c r="E8" i="2"/>
  <c r="F8" i="2"/>
  <c r="F12" i="2" s="1"/>
  <c r="G8" i="2"/>
  <c r="H8" i="2"/>
  <c r="H12" i="2" s="1"/>
  <c r="I8" i="2"/>
  <c r="J8" i="2"/>
  <c r="J12" i="2" s="1"/>
  <c r="K8" i="2"/>
  <c r="C10" i="1" l="1"/>
  <c r="C14" i="1" s="1"/>
  <c r="E10" i="1"/>
  <c r="E14" i="1" s="1"/>
  <c r="F10" i="1"/>
  <c r="G10" i="1"/>
  <c r="G14" i="1" s="1"/>
  <c r="H10" i="1"/>
  <c r="J10" i="1"/>
  <c r="K10" i="1"/>
  <c r="K14" i="1" s="1"/>
  <c r="L10" i="1"/>
  <c r="M10" i="1"/>
  <c r="M14" i="1" s="1"/>
  <c r="N10" i="1"/>
  <c r="O10" i="1"/>
  <c r="O14" i="1" s="1"/>
  <c r="P10" i="1"/>
  <c r="Q10" i="1"/>
  <c r="Q14" i="1" s="1"/>
  <c r="R10" i="1"/>
  <c r="S10" i="1"/>
  <c r="S14" i="1" s="1"/>
  <c r="T10" i="1"/>
  <c r="U10" i="1"/>
  <c r="U14" i="1" s="1"/>
  <c r="V10" i="1"/>
  <c r="D9" i="1" l="1"/>
  <c r="D10" i="1" s="1"/>
</calcChain>
</file>

<file path=xl/sharedStrings.xml><?xml version="1.0" encoding="utf-8"?>
<sst xmlns="http://schemas.openxmlformats.org/spreadsheetml/2006/main" count="546" uniqueCount="215">
  <si>
    <t>№</t>
  </si>
  <si>
    <t xml:space="preserve">6 - 10 </t>
  </si>
  <si>
    <t>11 +</t>
  </si>
  <si>
    <t>%</t>
  </si>
  <si>
    <t>I</t>
  </si>
  <si>
    <t>II</t>
  </si>
  <si>
    <t>III</t>
  </si>
  <si>
    <t>IV</t>
  </si>
  <si>
    <t>V</t>
  </si>
  <si>
    <t>VI</t>
  </si>
  <si>
    <t>VII</t>
  </si>
  <si>
    <t>VIII</t>
  </si>
  <si>
    <t>IХ</t>
  </si>
  <si>
    <t>Х</t>
  </si>
  <si>
    <t>ХI</t>
  </si>
  <si>
    <t>ХII</t>
  </si>
  <si>
    <t>Шу жумладан</t>
  </si>
  <si>
    <t>SPP</t>
  </si>
  <si>
    <t xml:space="preserve">6 - 10 (8) </t>
  </si>
  <si>
    <t xml:space="preserve">6 - 10 (6) </t>
  </si>
  <si>
    <t>E.coli</t>
  </si>
  <si>
    <t>Mamuriy hududlar</t>
  </si>
  <si>
    <t>Jami QR</t>
  </si>
  <si>
    <t>Jami O'IYuK</t>
  </si>
  <si>
    <t>Etiologiyasi aniqlangan (enterit, kolit, gastroenterit)</t>
  </si>
  <si>
    <t>Ichburug'</t>
  </si>
  <si>
    <t xml:space="preserve">Salmonellyoz infekciyalari </t>
  </si>
  <si>
    <t>abs.</t>
  </si>
  <si>
    <t>int.</t>
  </si>
  <si>
    <t>Etiologiyasi aniqlangan O'IYuK</t>
  </si>
  <si>
    <t>Etiologiyasi aniqlanmagan o'tkir diareyalar</t>
  </si>
  <si>
    <t>Etiologiyasi aniqlanmagan O'IYuK</t>
  </si>
  <si>
    <t xml:space="preserve">Salmonellyoz </t>
  </si>
  <si>
    <t>Abs.</t>
  </si>
  <si>
    <t>O'tkir ichak yuqumli kasalliklar bilan kasallanganlarning yoshma-yosh  tahlili</t>
  </si>
  <si>
    <t>Jami kasallanganlar</t>
  </si>
  <si>
    <t>1 yoshgacha</t>
  </si>
  <si>
    <t>1- 2 yosh</t>
  </si>
  <si>
    <t>3-5 yosh</t>
  </si>
  <si>
    <t>6-14 yosh</t>
  </si>
  <si>
    <t>15-17 yosh</t>
  </si>
  <si>
    <t>18 yosh va kattalar</t>
  </si>
  <si>
    <t>O'IYuK bilan kasallangan bemorlarning ijtimoiy-kasbiy tarkibi (1000 aholi guruhiga nisbatan intensiv ko'rsatkich)</t>
  </si>
  <si>
    <t>Uyushgan yasli yoshidagi (1-2 yosh) bolalar</t>
  </si>
  <si>
    <t>Uyushmagan yasli yoshidagi (1-2 yosh) bolalar</t>
  </si>
  <si>
    <t>Uyushgan maktabgacha yoshdagi (3-6 yosh) bolalar</t>
  </si>
  <si>
    <t>Uyushmagan maktabgacha yoshdagi (3-6 yosh) bolalar</t>
  </si>
  <si>
    <t>Umumtalim maktablar o'quvchilari</t>
  </si>
  <si>
    <t>Kolledj va liceylar o'quvchilari</t>
  </si>
  <si>
    <t>Tibbiyot xodimlari</t>
  </si>
  <si>
    <t>Umumiy ovqatlanish va savdo korxonalari xodimlari</t>
  </si>
  <si>
    <t>Suv taminoti xodimlari</t>
  </si>
  <si>
    <t>Boshqalar</t>
  </si>
  <si>
    <t>Jami</t>
  </si>
  <si>
    <t>Qo'zgatuvchisi aniqlangan</t>
  </si>
  <si>
    <t>Qo'zgatuvchisi aniqlanmagan</t>
  </si>
  <si>
    <t>Jami bemorlar soni</t>
  </si>
  <si>
    <t>O'IYuK</t>
  </si>
  <si>
    <t>ichburug'</t>
  </si>
  <si>
    <t>O'lganlar soni</t>
  </si>
  <si>
    <t>15 yosh va kattalar</t>
  </si>
  <si>
    <t>patologo-anatomik yorilganlar soni</t>
  </si>
  <si>
    <t>O'tkir diareya kasalliklarining etiologik taqsimlanishi</t>
  </si>
  <si>
    <t>O'IYuK va bakterial ichburuǵ</t>
  </si>
  <si>
    <t>jami</t>
  </si>
  <si>
    <t>Bak.tasdiklangan</t>
  </si>
  <si>
    <t>Shulardan aniqlangan</t>
  </si>
  <si>
    <t>Bakterial  ichburug'</t>
  </si>
  <si>
    <t>Fleksner</t>
  </si>
  <si>
    <t>Zonne</t>
  </si>
  <si>
    <t>Grigorev-Shiga</t>
  </si>
  <si>
    <t>Boyda</t>
  </si>
  <si>
    <t>EPKP 1 yoshgacha bolalarda   
EPKP 1 yoshgacha bolalarda   
EPKP 1 yoshgacha bolalarda</t>
  </si>
  <si>
    <t>EPKP boshqa kasallardan  topilgan</t>
  </si>
  <si>
    <t xml:space="preserve">Citrobakter </t>
  </si>
  <si>
    <t xml:space="preserve">Enterobakter </t>
  </si>
  <si>
    <t xml:space="preserve">Klebsiella </t>
  </si>
  <si>
    <t>Serraciya</t>
  </si>
  <si>
    <t>Gafniya</t>
  </si>
  <si>
    <t>Enterokokk</t>
  </si>
  <si>
    <t>Edvardsiella</t>
  </si>
  <si>
    <t>Stafilokokk</t>
  </si>
  <si>
    <t>Ko'k  yiring tayoqchasi</t>
  </si>
  <si>
    <t>Ierseniya</t>
  </si>
  <si>
    <t>Rotaviruslar</t>
  </si>
  <si>
    <t>Ferment ishlab chikarmaydigan bakteriyalar</t>
  </si>
  <si>
    <t>O'tkir diareya kasalliklari yuqish omillari bwyicha malumot</t>
  </si>
  <si>
    <t>Jami bemorlar</t>
  </si>
  <si>
    <t>Yuqish omillari</t>
  </si>
  <si>
    <t>oziq-ovqat, shu jumladan</t>
  </si>
  <si>
    <t>mayishiy muloqot, shu jumladan</t>
  </si>
  <si>
    <t>suv</t>
  </si>
  <si>
    <t>oziq-ovqat</t>
  </si>
  <si>
    <t>maishiy muloqot</t>
  </si>
  <si>
    <t>aniqlanmagan</t>
  </si>
  <si>
    <t>umumiy ovqatlanish korxonalarida</t>
  </si>
  <si>
    <t>uyda tayyorlangan oziq-ovqatlar</t>
  </si>
  <si>
    <t>sut mahsulotlari</t>
  </si>
  <si>
    <t>go'sht mahsulotlari</t>
  </si>
  <si>
    <t>parranda, tuxum</t>
  </si>
  <si>
    <t>meva va sabzavotlar</t>
  </si>
  <si>
    <t>tortlar, kremli mahsulotlar</t>
  </si>
  <si>
    <t>muzqaymoq</t>
  </si>
  <si>
    <t>baliq</t>
  </si>
  <si>
    <t>Bolalar uchun ozuqa mahsulotlari</t>
  </si>
  <si>
    <t>Boshqa mahsulotlar</t>
  </si>
  <si>
    <t>Bolalar uyushgan jamoalarda</t>
  </si>
  <si>
    <t>DPMlarda</t>
  </si>
  <si>
    <t>Ro'yxatga olingan bemorlar</t>
  </si>
  <si>
    <t>Kasallik manbai aniqlangan bemorlar</t>
  </si>
  <si>
    <t>Ehtimol qilingan omillar</t>
  </si>
  <si>
    <t>Quvurlar suvi</t>
  </si>
  <si>
    <t>Quduq suvlari</t>
  </si>
  <si>
    <t>Ochiq suv havzalari suvlari</t>
  </si>
  <si>
    <t>Oziq ovqat maxsulotlari</t>
  </si>
  <si>
    <t>mevalar va sabzavotlar</t>
  </si>
  <si>
    <t>sut va sut mahsulotlari</t>
  </si>
  <si>
    <t>ichimliklar</t>
  </si>
  <si>
    <t>boshqa oziq- ovqatlar</t>
  </si>
  <si>
    <t>Shaxsiy gigiena qoidalariga rioya qilmaslik natijasida</t>
  </si>
  <si>
    <t>Maishiy –muloqot ywllari orqali</t>
  </si>
  <si>
    <t xml:space="preserve">Jami tekshirilgan o'choqlar soni </t>
  </si>
  <si>
    <t>bolalarni noto'ǵri ovqatlantirish natijasida</t>
  </si>
  <si>
    <t>Shu jumladan</t>
  </si>
  <si>
    <t>epidemiologlar tomonidan</t>
  </si>
  <si>
    <t>epidemiolog yordamchilari tomonidan</t>
  </si>
  <si>
    <t>O'tkir diareya kasalliklarida yuqish manbai va yo'llari</t>
  </si>
  <si>
    <t>o'choqlar</t>
  </si>
  <si>
    <t>shulardan holatlar soni</t>
  </si>
  <si>
    <t>Yashash joyida</t>
  </si>
  <si>
    <t>МТТlar</t>
  </si>
  <si>
    <t>Maktablar</t>
  </si>
  <si>
    <t>DPM</t>
  </si>
  <si>
    <t xml:space="preserve">O'tkir diareya o'choqlarida ro'yxatga olingan bemorlar soni </t>
  </si>
  <si>
    <t>Birlamchi shoshilinch xabarnoma kelgan</t>
  </si>
  <si>
    <t>shulardan</t>
  </si>
  <si>
    <t>laboratoriyada (bakteriologik, serologik tekshirilgan)</t>
  </si>
  <si>
    <t>kasalxonaga yotkizilganlar</t>
  </si>
  <si>
    <t>Tashxisi tasdiqlangan</t>
  </si>
  <si>
    <t>O'choqlarning soni</t>
  </si>
  <si>
    <t>shu jumladan bitta xolatlik</t>
  </si>
  <si>
    <t>O'choqlarda muloqotda bo'lganlar soni</t>
  </si>
  <si>
    <t>tekshirilishi kerak</t>
  </si>
  <si>
    <t>tekshirilgan</t>
  </si>
  <si>
    <t>11-jadval</t>
  </si>
  <si>
    <t>10-jadval</t>
  </si>
  <si>
    <t>9-jadval</t>
  </si>
  <si>
    <t>8-jadval</t>
  </si>
  <si>
    <t>7-jadval</t>
  </si>
  <si>
    <t>6-jadval</t>
  </si>
  <si>
    <t>5 -jadval</t>
  </si>
  <si>
    <t>1-jadval</t>
  </si>
  <si>
    <t>2-jadval</t>
  </si>
  <si>
    <t>3-jadval</t>
  </si>
  <si>
    <t>4-jadval</t>
  </si>
  <si>
    <t>NAGlar</t>
  </si>
  <si>
    <t>Etiologiyasi aniklanmagan O'IYuK</t>
  </si>
  <si>
    <t xml:space="preserve">yanvar </t>
  </si>
  <si>
    <t>fevral</t>
  </si>
  <si>
    <t>mart</t>
  </si>
  <si>
    <t>Aprel</t>
  </si>
  <si>
    <t>May</t>
  </si>
  <si>
    <t>Iyon</t>
  </si>
  <si>
    <t>Iyol</t>
  </si>
  <si>
    <t>Avgust</t>
  </si>
  <si>
    <t>Sentyabr</t>
  </si>
  <si>
    <t>Oktyabr</t>
  </si>
  <si>
    <t>Noyabr</t>
  </si>
  <si>
    <t>Dekabr</t>
  </si>
  <si>
    <t>2024 yil</t>
  </si>
  <si>
    <t>Орал регидратация пунктларининг (ОРП) фаолияти тўғрисида маълумот</t>
  </si>
  <si>
    <t>Маъмурий ҳудудлар</t>
  </si>
  <si>
    <t>Ташкил қилинган ОРПлар сони</t>
  </si>
  <si>
    <t>ОРПлардаги ўринлар сони</t>
  </si>
  <si>
    <t xml:space="preserve">ОРПдан ўтган беморлар сони </t>
  </si>
  <si>
    <t>Вабога текширил-ганлар сони</t>
  </si>
  <si>
    <t>Ичак гурухи касалликлари қўзғатувчиларига текширилганлар сони</t>
  </si>
  <si>
    <t>ОРПдан соғайиб кетганлар сони</t>
  </si>
  <si>
    <t>ЮКШга ётқизилганлар сони</t>
  </si>
  <si>
    <t xml:space="preserve">Болалар ва бошқа соматик шифохонага ўтказилганлар сони </t>
  </si>
  <si>
    <t>СЭОваЖСБга берилган шошилинч хабарномалар</t>
  </si>
  <si>
    <t>Ҳисоботга (Ф-1) киритилган ўткир диарея касалликлари сони</t>
  </si>
  <si>
    <t xml:space="preserve">1 ШП </t>
  </si>
  <si>
    <t xml:space="preserve">2 ШП </t>
  </si>
  <si>
    <t xml:space="preserve">3 ШП </t>
  </si>
  <si>
    <t xml:space="preserve">4 ШП </t>
  </si>
  <si>
    <t xml:space="preserve">5 ШП </t>
  </si>
  <si>
    <t xml:space="preserve">6 ШП </t>
  </si>
  <si>
    <t xml:space="preserve">7  ШП </t>
  </si>
  <si>
    <t xml:space="preserve">8  ШП </t>
  </si>
  <si>
    <t xml:space="preserve">9 ШП </t>
  </si>
  <si>
    <t xml:space="preserve">10 ШП </t>
  </si>
  <si>
    <t>ЖАМИ:</t>
  </si>
  <si>
    <t>НКСЭТ хам ЖСБ менгериушиси:                             Г.Курбанова</t>
  </si>
  <si>
    <t>Пратей</t>
  </si>
  <si>
    <t>11 + (12)</t>
  </si>
  <si>
    <t>2024-2025 yilda ro'yhatga olingan o'tkir diareya kasalliklarining tahlili</t>
  </si>
  <si>
    <t>2025 yil</t>
  </si>
  <si>
    <t>2025 yil o'tkir ichak yuqumli kasalliklarning tarkibi</t>
  </si>
  <si>
    <t>2025 yilda o'tkir diareya kasalliklaridan vafot etganlar</t>
  </si>
  <si>
    <t xml:space="preserve">O'tkir diareya va ichburuǵ kasalligining 2025 yil epidemik o'choqlaridagi tadbirlari </t>
  </si>
  <si>
    <t>2025 жыл</t>
  </si>
  <si>
    <t>29/13</t>
  </si>
  <si>
    <t>24/19</t>
  </si>
  <si>
    <t xml:space="preserve">1 квт </t>
  </si>
  <si>
    <t>1квр</t>
  </si>
  <si>
    <t>1 квр</t>
  </si>
  <si>
    <t>1 квартал</t>
  </si>
  <si>
    <t xml:space="preserve">              </t>
  </si>
  <si>
    <t>2 квт</t>
  </si>
  <si>
    <t>2квт</t>
  </si>
  <si>
    <t>август</t>
  </si>
  <si>
    <t>11 ШП</t>
  </si>
  <si>
    <t xml:space="preserve">12 ШП </t>
  </si>
  <si>
    <t>октябрь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</si>
</sst>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KRKP"/>
      <family val="2"/>
    </font>
    <font>
      <sz val="14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0" xfId="0" applyFont="1"/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4" xfId="0" applyFont="1" applyBorder="1"/>
    <xf numFmtId="0" fontId="1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19" fillId="0" borderId="1" xfId="0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164" fontId="2" fillId="11" borderId="12" xfId="0" applyNumberFormat="1" applyFont="1" applyFill="1" applyBorder="1" applyAlignment="1">
      <alignment horizontal="center" vertical="center" wrapText="1"/>
    </xf>
    <xf numFmtId="164" fontId="2" fillId="11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0" fontId="19" fillId="0" borderId="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7"/>
  <sheetViews>
    <sheetView workbookViewId="0">
      <selection activeCell="V18" sqref="V18"/>
    </sheetView>
  </sheetViews>
  <sheetFormatPr defaultRowHeight="15"/>
  <cols>
    <col min="1" max="1" width="5.42578125" customWidth="1"/>
    <col min="2" max="2" width="11.42578125" customWidth="1"/>
    <col min="3" max="3" width="6.5703125" customWidth="1"/>
    <col min="4" max="4" width="5.85546875" customWidth="1"/>
    <col min="6" max="6" width="6.7109375" customWidth="1"/>
    <col min="7" max="7" width="7.42578125" customWidth="1"/>
    <col min="8" max="8" width="7.5703125" customWidth="1"/>
    <col min="9" max="10" width="7.42578125" customWidth="1"/>
    <col min="11" max="11" width="7.85546875" customWidth="1"/>
    <col min="12" max="12" width="6.140625" customWidth="1"/>
    <col min="13" max="13" width="7.42578125" customWidth="1"/>
    <col min="14" max="14" width="6.42578125" customWidth="1"/>
    <col min="15" max="15" width="7.42578125" customWidth="1"/>
    <col min="16" max="16" width="4.85546875" customWidth="1"/>
    <col min="17" max="18" width="6.42578125" customWidth="1"/>
    <col min="20" max="20" width="7" customWidth="1"/>
    <col min="22" max="22" width="5.7109375" customWidth="1"/>
  </cols>
  <sheetData>
    <row r="1" spans="1:22" ht="24.75" customHeight="1">
      <c r="A1" s="121" t="s">
        <v>196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</row>
    <row r="2" spans="1:22" ht="19.5">
      <c r="A2" s="20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21" t="s">
        <v>151</v>
      </c>
      <c r="T2" s="21"/>
      <c r="U2" s="21"/>
      <c r="V2" s="21"/>
    </row>
    <row r="3" spans="1:22" ht="37.5" customHeight="1">
      <c r="A3" s="118" t="s">
        <v>0</v>
      </c>
      <c r="B3" s="118" t="s">
        <v>21</v>
      </c>
      <c r="C3" s="117" t="s">
        <v>23</v>
      </c>
      <c r="D3" s="117"/>
      <c r="E3" s="117"/>
      <c r="F3" s="117"/>
      <c r="G3" s="118" t="s">
        <v>24</v>
      </c>
      <c r="H3" s="118"/>
      <c r="I3" s="118"/>
      <c r="J3" s="118"/>
      <c r="K3" s="118" t="s">
        <v>30</v>
      </c>
      <c r="L3" s="118"/>
      <c r="M3" s="118"/>
      <c r="N3" s="118"/>
      <c r="O3" s="117" t="s">
        <v>25</v>
      </c>
      <c r="P3" s="117"/>
      <c r="Q3" s="117"/>
      <c r="R3" s="117"/>
      <c r="S3" s="117" t="s">
        <v>26</v>
      </c>
      <c r="T3" s="117"/>
      <c r="U3" s="117"/>
      <c r="V3" s="117"/>
    </row>
    <row r="4" spans="1:22" ht="42.75" customHeight="1">
      <c r="A4" s="118"/>
      <c r="B4" s="118"/>
      <c r="C4" s="118" t="s">
        <v>169</v>
      </c>
      <c r="D4" s="118"/>
      <c r="E4" s="119" t="s">
        <v>197</v>
      </c>
      <c r="F4" s="119"/>
      <c r="G4" s="118" t="s">
        <v>169</v>
      </c>
      <c r="H4" s="118"/>
      <c r="I4" s="119" t="s">
        <v>197</v>
      </c>
      <c r="J4" s="119"/>
      <c r="K4" s="118" t="s">
        <v>169</v>
      </c>
      <c r="L4" s="118"/>
      <c r="M4" s="119" t="s">
        <v>197</v>
      </c>
      <c r="N4" s="119"/>
      <c r="O4" s="118" t="s">
        <v>169</v>
      </c>
      <c r="P4" s="118"/>
      <c r="Q4" s="119" t="s">
        <v>197</v>
      </c>
      <c r="R4" s="119"/>
      <c r="S4" s="118" t="s">
        <v>169</v>
      </c>
      <c r="T4" s="118"/>
      <c r="U4" s="119" t="s">
        <v>197</v>
      </c>
      <c r="V4" s="119"/>
    </row>
    <row r="5" spans="1:22" ht="15" customHeight="1">
      <c r="A5" s="118"/>
      <c r="B5" s="118"/>
      <c r="C5" s="118" t="s">
        <v>27</v>
      </c>
      <c r="D5" s="118" t="s">
        <v>28</v>
      </c>
      <c r="E5" s="119" t="s">
        <v>27</v>
      </c>
      <c r="F5" s="119" t="s">
        <v>28</v>
      </c>
      <c r="G5" s="118" t="s">
        <v>27</v>
      </c>
      <c r="H5" s="118" t="s">
        <v>28</v>
      </c>
      <c r="I5" s="120" t="s">
        <v>27</v>
      </c>
      <c r="J5" s="120" t="s">
        <v>28</v>
      </c>
      <c r="K5" s="118" t="s">
        <v>27</v>
      </c>
      <c r="L5" s="118" t="s">
        <v>28</v>
      </c>
      <c r="M5" s="119" t="s">
        <v>27</v>
      </c>
      <c r="N5" s="119" t="s">
        <v>28</v>
      </c>
      <c r="O5" s="118" t="s">
        <v>27</v>
      </c>
      <c r="P5" s="118" t="s">
        <v>28</v>
      </c>
      <c r="Q5" s="119" t="s">
        <v>27</v>
      </c>
      <c r="R5" s="119" t="s">
        <v>28</v>
      </c>
      <c r="S5" s="118" t="s">
        <v>27</v>
      </c>
      <c r="T5" s="118" t="s">
        <v>28</v>
      </c>
      <c r="U5" s="119" t="s">
        <v>27</v>
      </c>
      <c r="V5" s="119" t="s">
        <v>28</v>
      </c>
    </row>
    <row r="6" spans="1:22" ht="18.75" customHeight="1">
      <c r="A6" s="118"/>
      <c r="B6" s="118"/>
      <c r="C6" s="118"/>
      <c r="D6" s="118"/>
      <c r="E6" s="119"/>
      <c r="F6" s="119"/>
      <c r="G6" s="118"/>
      <c r="H6" s="118"/>
      <c r="I6" s="120"/>
      <c r="J6" s="120"/>
      <c r="K6" s="118"/>
      <c r="L6" s="118"/>
      <c r="M6" s="119"/>
      <c r="N6" s="119"/>
      <c r="O6" s="118"/>
      <c r="P6" s="118"/>
      <c r="Q6" s="119"/>
      <c r="R6" s="119"/>
      <c r="S6" s="118"/>
      <c r="T6" s="118"/>
      <c r="U6" s="119"/>
      <c r="V6" s="119"/>
    </row>
    <row r="7" spans="1:22" ht="24.75" customHeight="1">
      <c r="A7" s="3">
        <v>1</v>
      </c>
      <c r="B7" s="25" t="s">
        <v>157</v>
      </c>
      <c r="C7" s="48">
        <v>96</v>
      </c>
      <c r="D7" s="48">
        <v>28</v>
      </c>
      <c r="E7" s="79">
        <v>90</v>
      </c>
      <c r="F7" s="79">
        <v>25.7</v>
      </c>
      <c r="G7" s="48">
        <v>36</v>
      </c>
      <c r="H7" s="48">
        <v>10.4</v>
      </c>
      <c r="I7" s="75" t="s">
        <v>202</v>
      </c>
      <c r="J7" s="75">
        <v>8.1999999999999993</v>
      </c>
      <c r="K7" s="48">
        <v>115</v>
      </c>
      <c r="L7" s="48">
        <v>33.4</v>
      </c>
      <c r="M7" s="79">
        <v>56</v>
      </c>
      <c r="N7" s="79">
        <v>15.9</v>
      </c>
      <c r="O7" s="48">
        <v>1</v>
      </c>
      <c r="P7" s="48">
        <v>0.2</v>
      </c>
      <c r="Q7" s="79">
        <v>1</v>
      </c>
      <c r="R7" s="79">
        <v>0.2</v>
      </c>
      <c r="S7" s="48">
        <v>0</v>
      </c>
      <c r="T7" s="48">
        <v>0</v>
      </c>
      <c r="U7" s="79">
        <v>4</v>
      </c>
      <c r="V7" s="79">
        <v>1.1000000000000001</v>
      </c>
    </row>
    <row r="8" spans="1:22" ht="28.5" customHeight="1">
      <c r="A8" s="3">
        <v>2</v>
      </c>
      <c r="B8" s="25" t="s">
        <v>158</v>
      </c>
      <c r="C8" s="48">
        <v>96</v>
      </c>
      <c r="D8" s="48">
        <v>27</v>
      </c>
      <c r="E8" s="79">
        <v>106</v>
      </c>
      <c r="F8" s="79">
        <v>30.2</v>
      </c>
      <c r="G8" s="48">
        <v>7</v>
      </c>
      <c r="H8" s="48">
        <v>2</v>
      </c>
      <c r="I8" s="75" t="s">
        <v>203</v>
      </c>
      <c r="J8" s="75">
        <v>6.8</v>
      </c>
      <c r="K8" s="48">
        <v>88</v>
      </c>
      <c r="L8" s="48">
        <v>25.6</v>
      </c>
      <c r="M8" s="79">
        <v>79</v>
      </c>
      <c r="N8" s="79">
        <v>22.5</v>
      </c>
      <c r="O8" s="48">
        <v>1</v>
      </c>
      <c r="P8" s="48">
        <v>0.2</v>
      </c>
      <c r="Q8" s="79">
        <v>0</v>
      </c>
      <c r="R8" s="79">
        <v>0</v>
      </c>
      <c r="S8" s="48">
        <v>0</v>
      </c>
      <c r="T8" s="48">
        <v>0</v>
      </c>
      <c r="U8" s="79">
        <v>3</v>
      </c>
      <c r="V8" s="79">
        <v>0.8</v>
      </c>
    </row>
    <row r="9" spans="1:22" ht="19.5" customHeight="1">
      <c r="A9" s="3">
        <v>3</v>
      </c>
      <c r="B9" s="25" t="s">
        <v>159</v>
      </c>
      <c r="C9" s="48">
        <v>85</v>
      </c>
      <c r="D9" s="48">
        <f>-E9106</f>
        <v>0</v>
      </c>
      <c r="E9" s="79">
        <v>104</v>
      </c>
      <c r="F9" s="79">
        <v>0</v>
      </c>
      <c r="G9" s="48">
        <v>20</v>
      </c>
      <c r="H9" s="48">
        <v>0</v>
      </c>
      <c r="I9" s="75">
        <v>34</v>
      </c>
      <c r="J9" s="75">
        <v>0</v>
      </c>
      <c r="K9" s="48">
        <v>64</v>
      </c>
      <c r="L9" s="48">
        <v>0</v>
      </c>
      <c r="M9" s="79">
        <v>66</v>
      </c>
      <c r="N9" s="79">
        <v>0</v>
      </c>
      <c r="O9" s="48">
        <v>1</v>
      </c>
      <c r="P9" s="48">
        <v>0</v>
      </c>
      <c r="Q9" s="79">
        <v>0</v>
      </c>
      <c r="R9" s="79">
        <v>0</v>
      </c>
      <c r="S9" s="48">
        <v>0</v>
      </c>
      <c r="T9" s="48">
        <v>0</v>
      </c>
      <c r="U9" s="79">
        <v>4</v>
      </c>
      <c r="V9" s="79">
        <v>0</v>
      </c>
    </row>
    <row r="10" spans="1:22" ht="19.5" customHeight="1">
      <c r="A10" s="73"/>
      <c r="B10" s="74" t="s">
        <v>204</v>
      </c>
      <c r="C10" s="48">
        <f t="shared" ref="C10:V10" si="0">SUM(C7:C9)</f>
        <v>277</v>
      </c>
      <c r="D10" s="48">
        <f t="shared" si="0"/>
        <v>55</v>
      </c>
      <c r="E10" s="79">
        <f t="shared" si="0"/>
        <v>300</v>
      </c>
      <c r="F10" s="79">
        <f t="shared" si="0"/>
        <v>55.9</v>
      </c>
      <c r="G10" s="48">
        <f t="shared" si="0"/>
        <v>63</v>
      </c>
      <c r="H10" s="48">
        <f t="shared" si="0"/>
        <v>12.4</v>
      </c>
      <c r="I10" s="75">
        <v>87</v>
      </c>
      <c r="J10" s="75">
        <f t="shared" si="0"/>
        <v>15</v>
      </c>
      <c r="K10" s="48">
        <f t="shared" si="0"/>
        <v>267</v>
      </c>
      <c r="L10" s="48">
        <f t="shared" si="0"/>
        <v>59</v>
      </c>
      <c r="M10" s="79">
        <f t="shared" si="0"/>
        <v>201</v>
      </c>
      <c r="N10" s="79">
        <f t="shared" si="0"/>
        <v>38.4</v>
      </c>
      <c r="O10" s="48">
        <f t="shared" si="0"/>
        <v>3</v>
      </c>
      <c r="P10" s="48">
        <f t="shared" si="0"/>
        <v>0.4</v>
      </c>
      <c r="Q10" s="79">
        <f t="shared" si="0"/>
        <v>1</v>
      </c>
      <c r="R10" s="79">
        <f t="shared" si="0"/>
        <v>0.2</v>
      </c>
      <c r="S10" s="48">
        <f t="shared" si="0"/>
        <v>0</v>
      </c>
      <c r="T10" s="48">
        <f t="shared" si="0"/>
        <v>0</v>
      </c>
      <c r="U10" s="79">
        <f t="shared" si="0"/>
        <v>11</v>
      </c>
      <c r="V10" s="79">
        <f t="shared" si="0"/>
        <v>1.9000000000000001</v>
      </c>
    </row>
    <row r="11" spans="1:22" ht="15.75">
      <c r="A11" s="3">
        <v>4</v>
      </c>
      <c r="B11" s="50" t="s">
        <v>160</v>
      </c>
      <c r="C11" s="51">
        <v>103</v>
      </c>
      <c r="D11" s="51">
        <v>29.9</v>
      </c>
      <c r="E11" s="79">
        <v>185</v>
      </c>
      <c r="F11" s="79">
        <v>52.8</v>
      </c>
      <c r="G11" s="51">
        <v>18</v>
      </c>
      <c r="H11" s="51">
        <v>5.2</v>
      </c>
      <c r="I11" s="76">
        <v>59</v>
      </c>
      <c r="J11" s="76">
        <v>16.8</v>
      </c>
      <c r="K11" s="51">
        <v>79</v>
      </c>
      <c r="L11" s="51">
        <v>2.2999999999999998</v>
      </c>
      <c r="M11" s="81">
        <v>124</v>
      </c>
      <c r="N11" s="81">
        <v>35.4</v>
      </c>
      <c r="O11" s="51">
        <v>2</v>
      </c>
      <c r="P11" s="51">
        <v>0.5</v>
      </c>
      <c r="Q11" s="81">
        <v>0</v>
      </c>
      <c r="R11" s="81">
        <v>0</v>
      </c>
      <c r="S11" s="51">
        <v>4</v>
      </c>
      <c r="T11" s="51">
        <v>1.1000000000000001</v>
      </c>
      <c r="U11" s="81">
        <v>2</v>
      </c>
      <c r="V11" s="81">
        <v>0.5</v>
      </c>
    </row>
    <row r="12" spans="1:22" ht="15.75">
      <c r="A12" s="3">
        <v>5</v>
      </c>
      <c r="B12" s="25" t="s">
        <v>161</v>
      </c>
      <c r="C12" s="48">
        <v>262</v>
      </c>
      <c r="D12" s="48">
        <v>76.2</v>
      </c>
      <c r="E12" s="79">
        <v>297</v>
      </c>
      <c r="F12" s="79">
        <v>84.3</v>
      </c>
      <c r="G12" s="48">
        <v>44</v>
      </c>
      <c r="H12" s="48">
        <v>12.8</v>
      </c>
      <c r="I12" s="75">
        <v>55</v>
      </c>
      <c r="J12" s="75">
        <v>15.7</v>
      </c>
      <c r="K12" s="48">
        <v>212</v>
      </c>
      <c r="L12" s="48">
        <v>61.7</v>
      </c>
      <c r="M12" s="79">
        <v>229</v>
      </c>
      <c r="N12" s="79">
        <v>65.400000000000006</v>
      </c>
      <c r="O12" s="48">
        <v>3</v>
      </c>
      <c r="P12" s="48">
        <v>0.8</v>
      </c>
      <c r="Q12" s="79">
        <v>1</v>
      </c>
      <c r="R12" s="79">
        <v>0.2</v>
      </c>
      <c r="S12" s="48">
        <v>3</v>
      </c>
      <c r="T12" s="48">
        <v>0.8</v>
      </c>
      <c r="U12" s="79">
        <v>12</v>
      </c>
      <c r="V12" s="79">
        <v>3.4</v>
      </c>
    </row>
    <row r="13" spans="1:22" ht="15.75">
      <c r="A13" s="3">
        <v>6</v>
      </c>
      <c r="B13" s="25" t="s">
        <v>162</v>
      </c>
      <c r="C13" s="85">
        <v>353</v>
      </c>
      <c r="D13" s="86">
        <v>102.8</v>
      </c>
      <c r="E13" s="109">
        <v>209</v>
      </c>
      <c r="F13" s="110">
        <v>59.6</v>
      </c>
      <c r="G13" s="85">
        <v>85</v>
      </c>
      <c r="H13" s="86">
        <v>24.7</v>
      </c>
      <c r="I13" s="109">
        <v>47</v>
      </c>
      <c r="J13" s="110">
        <v>13.4</v>
      </c>
      <c r="K13" s="85">
        <v>257</v>
      </c>
      <c r="L13" s="86">
        <v>74.8</v>
      </c>
      <c r="M13" s="109">
        <v>153</v>
      </c>
      <c r="N13" s="110">
        <v>43.7</v>
      </c>
      <c r="O13" s="85">
        <v>11</v>
      </c>
      <c r="P13" s="86">
        <v>3.2</v>
      </c>
      <c r="Q13" s="109">
        <v>3</v>
      </c>
      <c r="R13" s="110">
        <v>0.8</v>
      </c>
      <c r="S13" s="85"/>
      <c r="T13" s="86">
        <v>0</v>
      </c>
      <c r="U13" s="109">
        <v>6</v>
      </c>
      <c r="V13" s="110">
        <v>1.7</v>
      </c>
    </row>
    <row r="14" spans="1:22" ht="15.75">
      <c r="A14" s="3">
        <v>7</v>
      </c>
      <c r="B14" s="25" t="s">
        <v>209</v>
      </c>
      <c r="C14" s="85">
        <f>SUM(C10:C13)</f>
        <v>995</v>
      </c>
      <c r="D14" s="108">
        <v>289.7</v>
      </c>
      <c r="E14" s="109">
        <f>SUM(E10:E13)</f>
        <v>991</v>
      </c>
      <c r="F14" s="111">
        <v>283.10000000000002</v>
      </c>
      <c r="G14" s="85">
        <f>SUM(G10:G13)</f>
        <v>210</v>
      </c>
      <c r="H14" s="108">
        <v>61.1</v>
      </c>
      <c r="I14" s="109">
        <f>SUM(I10:I13)</f>
        <v>248</v>
      </c>
      <c r="J14" s="111">
        <v>70.8</v>
      </c>
      <c r="K14" s="85">
        <f>SUM(K10:K13)</f>
        <v>815</v>
      </c>
      <c r="L14" s="108">
        <v>237.3</v>
      </c>
      <c r="M14" s="109">
        <f>SUM(M10:M13)</f>
        <v>707</v>
      </c>
      <c r="N14" s="111">
        <v>201.9</v>
      </c>
      <c r="O14" s="85">
        <f>SUM(O10:O13)</f>
        <v>19</v>
      </c>
      <c r="P14" s="108">
        <v>5.5</v>
      </c>
      <c r="Q14" s="109">
        <f>SUM(Q10:Q13)</f>
        <v>5</v>
      </c>
      <c r="R14" s="111">
        <v>1.4</v>
      </c>
      <c r="S14" s="85">
        <f>SUM(S10:S13)</f>
        <v>7</v>
      </c>
      <c r="T14" s="108">
        <v>2</v>
      </c>
      <c r="U14" s="109">
        <f>SUM(U10:U13)</f>
        <v>31</v>
      </c>
      <c r="V14" s="111">
        <v>8.8000000000000007</v>
      </c>
    </row>
    <row r="15" spans="1:22" ht="15.75">
      <c r="A15" s="3">
        <v>8</v>
      </c>
      <c r="B15" s="25" t="s">
        <v>163</v>
      </c>
      <c r="C15" s="48"/>
      <c r="D15" s="48"/>
      <c r="E15" s="79">
        <v>381</v>
      </c>
      <c r="F15" s="79">
        <v>108.8</v>
      </c>
      <c r="G15" s="48"/>
      <c r="H15" s="48"/>
      <c r="I15" s="75">
        <v>106</v>
      </c>
      <c r="J15" s="75">
        <v>30.2</v>
      </c>
      <c r="K15" s="48"/>
      <c r="L15" s="48"/>
      <c r="M15" s="79">
        <v>268</v>
      </c>
      <c r="N15" s="79">
        <v>76.5</v>
      </c>
      <c r="O15" s="48"/>
      <c r="P15" s="48"/>
      <c r="Q15" s="79">
        <v>2</v>
      </c>
      <c r="R15" s="79">
        <v>0.5</v>
      </c>
      <c r="S15" s="48"/>
      <c r="T15" s="48"/>
      <c r="U15" s="79">
        <v>5</v>
      </c>
      <c r="V15" s="79">
        <v>1.4</v>
      </c>
    </row>
    <row r="16" spans="1:22" ht="15.75">
      <c r="A16" s="3">
        <v>9</v>
      </c>
      <c r="B16" s="25" t="s">
        <v>164</v>
      </c>
      <c r="C16" s="48"/>
      <c r="D16" s="48"/>
      <c r="E16" s="79">
        <v>228</v>
      </c>
      <c r="F16" s="79">
        <v>65.099999999999994</v>
      </c>
      <c r="G16" s="48"/>
      <c r="H16" s="48"/>
      <c r="I16" s="75">
        <v>98</v>
      </c>
      <c r="J16" s="75">
        <v>27.9</v>
      </c>
      <c r="K16" s="48"/>
      <c r="L16" s="48"/>
      <c r="M16" s="79">
        <v>124</v>
      </c>
      <c r="N16" s="79">
        <v>35.4</v>
      </c>
      <c r="O16" s="48"/>
      <c r="P16" s="48"/>
      <c r="Q16" s="79">
        <v>3</v>
      </c>
      <c r="R16" s="79">
        <v>0.8</v>
      </c>
      <c r="S16" s="48"/>
      <c r="T16" s="48"/>
      <c r="U16" s="79">
        <v>3</v>
      </c>
      <c r="V16" s="79">
        <v>0.8</v>
      </c>
    </row>
    <row r="17" spans="1:22" ht="15.75">
      <c r="A17" s="3">
        <v>10</v>
      </c>
      <c r="B17" s="25" t="s">
        <v>165</v>
      </c>
      <c r="C17" s="48"/>
      <c r="D17" s="48"/>
      <c r="E17" s="79">
        <v>195</v>
      </c>
      <c r="F17" s="79">
        <v>55.6</v>
      </c>
      <c r="G17" s="48" t="s">
        <v>208</v>
      </c>
      <c r="H17" s="48"/>
      <c r="I17" s="75">
        <v>54</v>
      </c>
      <c r="J17" s="75">
        <v>15.4</v>
      </c>
      <c r="K17" s="48"/>
      <c r="L17" s="48"/>
      <c r="M17" s="79">
        <v>125</v>
      </c>
      <c r="N17" s="79">
        <v>35.700000000000003</v>
      </c>
      <c r="O17" s="48"/>
      <c r="P17" s="48"/>
      <c r="Q17" s="79">
        <v>1</v>
      </c>
      <c r="R17" s="79">
        <v>0.2</v>
      </c>
      <c r="S17" s="48"/>
      <c r="T17" s="48"/>
      <c r="U17" s="79">
        <v>15</v>
      </c>
      <c r="V17" s="79">
        <v>4.2</v>
      </c>
    </row>
    <row r="18" spans="1:22" ht="15.75">
      <c r="A18" s="3">
        <v>11</v>
      </c>
      <c r="B18" s="25" t="s">
        <v>166</v>
      </c>
      <c r="C18" s="48"/>
      <c r="D18" s="48"/>
      <c r="E18" s="79">
        <v>311</v>
      </c>
      <c r="F18" s="79">
        <v>88.8</v>
      </c>
      <c r="G18" s="48"/>
      <c r="H18" s="48"/>
      <c r="I18" s="75">
        <v>111</v>
      </c>
      <c r="J18" s="75">
        <v>31.7</v>
      </c>
      <c r="K18" s="48"/>
      <c r="L18" s="48"/>
      <c r="M18" s="79">
        <v>181</v>
      </c>
      <c r="N18" s="79">
        <v>51.7</v>
      </c>
      <c r="O18" s="48"/>
      <c r="P18" s="48"/>
      <c r="Q18" s="79">
        <v>8</v>
      </c>
      <c r="R18" s="79">
        <v>2.2000000000000002</v>
      </c>
      <c r="S18" s="48"/>
      <c r="T18" s="48"/>
      <c r="U18" s="79">
        <v>11</v>
      </c>
      <c r="V18" s="79">
        <v>3.1</v>
      </c>
    </row>
    <row r="19" spans="1:22" ht="15.75">
      <c r="A19" s="3">
        <v>12</v>
      </c>
      <c r="B19" s="25" t="s">
        <v>167</v>
      </c>
      <c r="C19" s="48"/>
      <c r="D19" s="48"/>
      <c r="E19" s="79"/>
      <c r="F19" s="79"/>
      <c r="G19" s="48"/>
      <c r="H19" s="48"/>
      <c r="I19" s="75"/>
      <c r="J19" s="75"/>
      <c r="K19" s="48"/>
      <c r="L19" s="48"/>
      <c r="M19" s="79"/>
      <c r="N19" s="79"/>
      <c r="O19" s="48"/>
      <c r="P19" s="48"/>
      <c r="Q19" s="79"/>
      <c r="R19" s="79"/>
      <c r="S19" s="48"/>
      <c r="T19" s="48"/>
      <c r="U19" s="79"/>
      <c r="V19" s="79"/>
    </row>
    <row r="20" spans="1:22" ht="15.75">
      <c r="A20" s="3">
        <v>13</v>
      </c>
      <c r="B20" s="25" t="s">
        <v>168</v>
      </c>
      <c r="C20" s="48"/>
      <c r="D20" s="48"/>
      <c r="E20" s="79"/>
      <c r="F20" s="79"/>
      <c r="G20" s="48"/>
      <c r="H20" s="48"/>
      <c r="I20" s="75"/>
      <c r="J20" s="75"/>
      <c r="K20" s="48"/>
      <c r="L20" s="48"/>
      <c r="M20" s="79"/>
      <c r="N20" s="79"/>
      <c r="O20" s="48"/>
      <c r="P20" s="48"/>
      <c r="Q20" s="79"/>
      <c r="R20" s="79"/>
      <c r="S20" s="48"/>
      <c r="T20" s="48"/>
      <c r="U20" s="79"/>
      <c r="V20" s="79"/>
    </row>
    <row r="21" spans="1:22" ht="15.75">
      <c r="A21" s="3">
        <v>14</v>
      </c>
      <c r="B21" s="52"/>
      <c r="C21" s="53"/>
      <c r="D21" s="53"/>
      <c r="E21" s="80"/>
      <c r="F21" s="80"/>
      <c r="G21" s="53"/>
      <c r="H21" s="53"/>
      <c r="I21" s="77"/>
      <c r="J21" s="77"/>
      <c r="K21" s="53"/>
      <c r="L21" s="53"/>
      <c r="M21" s="82"/>
      <c r="N21" s="82"/>
      <c r="O21" s="53"/>
      <c r="P21" s="53"/>
      <c r="Q21" s="82"/>
      <c r="R21" s="82"/>
      <c r="S21" s="53"/>
      <c r="T21" s="53"/>
      <c r="U21" s="82"/>
      <c r="V21" s="82"/>
    </row>
    <row r="22" spans="1:22" ht="15.75" customHeight="1">
      <c r="A22" s="28" t="s">
        <v>22</v>
      </c>
      <c r="E22" s="78"/>
      <c r="F22" s="78"/>
    </row>
    <row r="27" spans="1:22" ht="24.75" customHeight="1"/>
  </sheetData>
  <mergeCells count="38">
    <mergeCell ref="A1:V1"/>
    <mergeCell ref="S3:V3"/>
    <mergeCell ref="S4:T4"/>
    <mergeCell ref="U4:V4"/>
    <mergeCell ref="K3:N3"/>
    <mergeCell ref="K4:L4"/>
    <mergeCell ref="M4:N4"/>
    <mergeCell ref="B3:B6"/>
    <mergeCell ref="A3:A6"/>
    <mergeCell ref="S5:S6"/>
    <mergeCell ref="T5:T6"/>
    <mergeCell ref="U5:U6"/>
    <mergeCell ref="V5:V6"/>
    <mergeCell ref="O3:R3"/>
    <mergeCell ref="O4:P4"/>
    <mergeCell ref="Q4:R4"/>
    <mergeCell ref="O5:O6"/>
    <mergeCell ref="P5:P6"/>
    <mergeCell ref="Q5:Q6"/>
    <mergeCell ref="R5:R6"/>
    <mergeCell ref="K5:K6"/>
    <mergeCell ref="L5:L6"/>
    <mergeCell ref="M5:M6"/>
    <mergeCell ref="N5:N6"/>
    <mergeCell ref="C3:F3"/>
    <mergeCell ref="G3:J3"/>
    <mergeCell ref="G4:H4"/>
    <mergeCell ref="I4:J4"/>
    <mergeCell ref="G5:G6"/>
    <mergeCell ref="H5:H6"/>
    <mergeCell ref="I5:I6"/>
    <mergeCell ref="J5:J6"/>
    <mergeCell ref="C4:D4"/>
    <mergeCell ref="E4:F4"/>
    <mergeCell ref="C5:C6"/>
    <mergeCell ref="E5:E6"/>
    <mergeCell ref="D5:D6"/>
    <mergeCell ref="F5:F6"/>
  </mergeCells>
  <pageMargins left="0.7" right="0.7" top="0.75" bottom="0.75" header="0.3" footer="0.3"/>
  <pageSetup paperSize="9" scale="8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9"/>
  <sheetViews>
    <sheetView topLeftCell="A2" workbookViewId="0">
      <selection activeCell="L16" sqref="L16"/>
    </sheetView>
  </sheetViews>
  <sheetFormatPr defaultRowHeight="15"/>
  <cols>
    <col min="1" max="1" width="4.5703125" customWidth="1"/>
    <col min="2" max="2" width="11.85546875" customWidth="1"/>
    <col min="3" max="3" width="10.42578125" customWidth="1"/>
    <col min="4" max="6" width="13.7109375" customWidth="1"/>
    <col min="7" max="7" width="8.85546875" customWidth="1"/>
    <col min="8" max="8" width="10.140625" customWidth="1"/>
    <col min="9" max="9" width="8.42578125" customWidth="1"/>
    <col min="10" max="10" width="12" customWidth="1"/>
    <col min="11" max="11" width="10.85546875" customWidth="1"/>
  </cols>
  <sheetData>
    <row r="1" spans="1:11" ht="22.5" customHeight="1">
      <c r="A1" s="123" t="s">
        <v>198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 ht="19.5">
      <c r="A2" s="14"/>
      <c r="B2" s="14"/>
      <c r="C2" s="14"/>
      <c r="D2" s="14"/>
      <c r="E2" s="14"/>
      <c r="F2" s="14"/>
      <c r="G2" s="14"/>
      <c r="H2" s="14"/>
      <c r="I2" s="124" t="s">
        <v>152</v>
      </c>
      <c r="J2" s="124"/>
      <c r="K2" s="124"/>
    </row>
    <row r="3" spans="1:11" ht="50.25" customHeight="1">
      <c r="A3" s="118" t="s">
        <v>0</v>
      </c>
      <c r="B3" s="118" t="s">
        <v>21</v>
      </c>
      <c r="C3" s="118" t="s">
        <v>23</v>
      </c>
      <c r="D3" s="118" t="s">
        <v>29</v>
      </c>
      <c r="E3" s="118"/>
      <c r="F3" s="118" t="s">
        <v>31</v>
      </c>
      <c r="G3" s="118"/>
      <c r="H3" s="118" t="s">
        <v>25</v>
      </c>
      <c r="I3" s="118"/>
      <c r="J3" s="118" t="s">
        <v>32</v>
      </c>
      <c r="K3" s="118"/>
    </row>
    <row r="4" spans="1:11" ht="18.75">
      <c r="A4" s="118"/>
      <c r="B4" s="118"/>
      <c r="C4" s="118"/>
      <c r="D4" s="11" t="s">
        <v>33</v>
      </c>
      <c r="E4" s="11" t="s">
        <v>3</v>
      </c>
      <c r="F4" s="11" t="s">
        <v>33</v>
      </c>
      <c r="G4" s="11" t="s">
        <v>3</v>
      </c>
      <c r="H4" s="11" t="s">
        <v>33</v>
      </c>
      <c r="I4" s="11" t="s">
        <v>3</v>
      </c>
      <c r="J4" s="11" t="s">
        <v>33</v>
      </c>
      <c r="K4" s="11" t="s">
        <v>3</v>
      </c>
    </row>
    <row r="5" spans="1:11" ht="15.75">
      <c r="A5" s="48">
        <v>1</v>
      </c>
      <c r="B5" s="25" t="s">
        <v>157</v>
      </c>
      <c r="C5" s="48">
        <v>90</v>
      </c>
      <c r="D5" s="48" t="s">
        <v>202</v>
      </c>
      <c r="E5" s="48">
        <v>32.200000000000003</v>
      </c>
      <c r="F5" s="48">
        <v>56</v>
      </c>
      <c r="G5" s="54">
        <v>0.622</v>
      </c>
      <c r="H5" s="48">
        <v>1</v>
      </c>
      <c r="I5" s="48">
        <v>0</v>
      </c>
      <c r="J5" s="48">
        <v>4</v>
      </c>
      <c r="K5" s="48">
        <v>0</v>
      </c>
    </row>
    <row r="6" spans="1:11" ht="15.75">
      <c r="A6" s="48">
        <v>2</v>
      </c>
      <c r="B6" s="25" t="s">
        <v>158</v>
      </c>
      <c r="C6" s="49">
        <v>106</v>
      </c>
      <c r="D6" s="49" t="s">
        <v>203</v>
      </c>
      <c r="E6" s="49">
        <v>22.6</v>
      </c>
      <c r="F6" s="49">
        <v>79</v>
      </c>
      <c r="G6" s="55">
        <v>0.745</v>
      </c>
      <c r="H6" s="56">
        <v>0</v>
      </c>
      <c r="I6" s="49">
        <v>0</v>
      </c>
      <c r="J6" s="49">
        <v>3</v>
      </c>
      <c r="K6" s="49">
        <v>208</v>
      </c>
    </row>
    <row r="7" spans="1:11" ht="15.75">
      <c r="A7" s="48">
        <v>3</v>
      </c>
      <c r="B7" s="25" t="s">
        <v>159</v>
      </c>
      <c r="C7" s="49">
        <v>104</v>
      </c>
      <c r="D7" s="49">
        <v>34</v>
      </c>
      <c r="E7" s="49">
        <v>32.6</v>
      </c>
      <c r="F7" s="49">
        <v>66</v>
      </c>
      <c r="G7" s="55">
        <v>0.63</v>
      </c>
      <c r="H7" s="56">
        <v>0</v>
      </c>
      <c r="I7" s="49">
        <v>0</v>
      </c>
      <c r="J7" s="49">
        <v>4</v>
      </c>
      <c r="K7" s="49">
        <v>3.8</v>
      </c>
    </row>
    <row r="8" spans="1:11" ht="15.75">
      <c r="A8" s="73"/>
      <c r="B8" s="74" t="s">
        <v>205</v>
      </c>
      <c r="C8" s="49">
        <f t="shared" ref="C8:K8" si="0">SUM(C5:C7)</f>
        <v>300</v>
      </c>
      <c r="D8" s="49">
        <f t="shared" si="0"/>
        <v>34</v>
      </c>
      <c r="E8" s="49">
        <f t="shared" si="0"/>
        <v>87.4</v>
      </c>
      <c r="F8" s="49">
        <f t="shared" si="0"/>
        <v>201</v>
      </c>
      <c r="G8" s="55">
        <f t="shared" si="0"/>
        <v>1.9969999999999999</v>
      </c>
      <c r="H8" s="56">
        <f t="shared" si="0"/>
        <v>1</v>
      </c>
      <c r="I8" s="49">
        <f t="shared" si="0"/>
        <v>0</v>
      </c>
      <c r="J8" s="49">
        <f t="shared" si="0"/>
        <v>11</v>
      </c>
      <c r="K8" s="49">
        <f t="shared" si="0"/>
        <v>211.8</v>
      </c>
    </row>
    <row r="9" spans="1:11" ht="15.75">
      <c r="A9" s="48">
        <v>4</v>
      </c>
      <c r="B9" s="25" t="s">
        <v>160</v>
      </c>
      <c r="C9" s="49">
        <v>185</v>
      </c>
      <c r="D9" s="49">
        <v>59</v>
      </c>
      <c r="E9" s="49">
        <v>31.8</v>
      </c>
      <c r="F9" s="49">
        <v>124</v>
      </c>
      <c r="G9" s="49">
        <v>67</v>
      </c>
      <c r="H9" s="56">
        <v>0</v>
      </c>
      <c r="I9" s="49">
        <v>0</v>
      </c>
      <c r="J9" s="49">
        <v>2</v>
      </c>
      <c r="K9" s="49">
        <v>1</v>
      </c>
    </row>
    <row r="10" spans="1:11" ht="15.75">
      <c r="A10" s="48">
        <v>5</v>
      </c>
      <c r="B10" s="25" t="s">
        <v>161</v>
      </c>
      <c r="C10" s="49">
        <v>297</v>
      </c>
      <c r="D10" s="49">
        <v>55</v>
      </c>
      <c r="E10" s="49">
        <v>18.5</v>
      </c>
      <c r="F10" s="49">
        <v>229</v>
      </c>
      <c r="G10" s="49">
        <v>77.099999999999994</v>
      </c>
      <c r="H10" s="56">
        <v>1</v>
      </c>
      <c r="I10" s="49">
        <v>0.3</v>
      </c>
      <c r="J10" s="49">
        <v>12</v>
      </c>
      <c r="K10" s="49">
        <v>0.4</v>
      </c>
    </row>
    <row r="11" spans="1:11" ht="15.75">
      <c r="A11" s="48">
        <v>6</v>
      </c>
      <c r="B11" s="25" t="s">
        <v>162</v>
      </c>
      <c r="C11" s="87">
        <v>209</v>
      </c>
      <c r="D11" s="88">
        <v>47</v>
      </c>
      <c r="E11" s="89">
        <v>22.4</v>
      </c>
      <c r="F11" s="88">
        <v>153</v>
      </c>
      <c r="G11" s="89">
        <v>73.2</v>
      </c>
      <c r="H11" s="88">
        <v>3</v>
      </c>
      <c r="I11" s="89">
        <v>1.4</v>
      </c>
      <c r="J11" s="88">
        <v>6</v>
      </c>
      <c r="K11" s="89">
        <v>2.8</v>
      </c>
    </row>
    <row r="12" spans="1:11" ht="15.75">
      <c r="A12" s="48">
        <v>7</v>
      </c>
      <c r="B12" s="25" t="s">
        <v>210</v>
      </c>
      <c r="C12" s="49">
        <f>SUM(C8:C11)</f>
        <v>991</v>
      </c>
      <c r="D12" s="49">
        <f>SUM(D8:D11)</f>
        <v>195</v>
      </c>
      <c r="E12" s="49">
        <v>19.600000000000001</v>
      </c>
      <c r="F12" s="49">
        <f>SUM(F8:F11)</f>
        <v>707</v>
      </c>
      <c r="G12" s="49">
        <v>71.3</v>
      </c>
      <c r="H12" s="56">
        <f>SUM(H8:H11)</f>
        <v>5</v>
      </c>
      <c r="I12" s="49">
        <v>2.2999999999999998</v>
      </c>
      <c r="J12" s="49">
        <f>SUM(J8:J11)</f>
        <v>31</v>
      </c>
      <c r="K12" s="49">
        <v>14.8</v>
      </c>
    </row>
    <row r="13" spans="1:11" ht="15.75">
      <c r="A13" s="48">
        <v>8</v>
      </c>
      <c r="B13" s="25" t="s">
        <v>163</v>
      </c>
      <c r="C13" s="49">
        <v>381</v>
      </c>
      <c r="D13" s="49">
        <v>106</v>
      </c>
      <c r="E13" s="49">
        <v>27.8</v>
      </c>
      <c r="F13" s="49">
        <v>268</v>
      </c>
      <c r="G13" s="49">
        <v>70.3</v>
      </c>
      <c r="H13" s="56">
        <v>2</v>
      </c>
      <c r="I13" s="49">
        <v>0.5</v>
      </c>
      <c r="J13" s="57">
        <v>5</v>
      </c>
      <c r="K13" s="49">
        <v>1.3</v>
      </c>
    </row>
    <row r="14" spans="1:11" ht="15.75">
      <c r="A14" s="48">
        <v>9</v>
      </c>
      <c r="B14" s="25" t="s">
        <v>164</v>
      </c>
      <c r="C14" s="49">
        <v>228</v>
      </c>
      <c r="D14" s="49">
        <v>98</v>
      </c>
      <c r="E14" s="49">
        <v>42.9</v>
      </c>
      <c r="F14" s="49">
        <v>124</v>
      </c>
      <c r="G14" s="49">
        <v>54.3</v>
      </c>
      <c r="H14" s="56">
        <v>3</v>
      </c>
      <c r="I14" s="49">
        <v>1.3</v>
      </c>
      <c r="J14" s="57">
        <v>3</v>
      </c>
      <c r="K14" s="49">
        <v>1.3</v>
      </c>
    </row>
    <row r="15" spans="1:11" ht="15.75">
      <c r="A15" s="48">
        <v>10</v>
      </c>
      <c r="B15" s="25" t="s">
        <v>165</v>
      </c>
      <c r="C15" s="49">
        <v>195</v>
      </c>
      <c r="D15" s="49">
        <v>54</v>
      </c>
      <c r="E15" s="49">
        <v>27.6</v>
      </c>
      <c r="F15" s="49">
        <v>125</v>
      </c>
      <c r="G15" s="49">
        <v>64.099999999999994</v>
      </c>
      <c r="H15" s="56">
        <v>1</v>
      </c>
      <c r="I15" s="49">
        <v>0.5</v>
      </c>
      <c r="J15" s="49">
        <v>15</v>
      </c>
      <c r="K15" s="49">
        <v>7.6</v>
      </c>
    </row>
    <row r="16" spans="1:11" ht="15.75">
      <c r="A16" s="48">
        <v>11</v>
      </c>
      <c r="B16" s="25" t="s">
        <v>166</v>
      </c>
      <c r="C16" s="49">
        <v>311</v>
      </c>
      <c r="D16" s="49">
        <v>111</v>
      </c>
      <c r="E16" s="49">
        <v>35.6</v>
      </c>
      <c r="F16" s="49">
        <v>181</v>
      </c>
      <c r="G16" s="55">
        <v>0.58099999999999996</v>
      </c>
      <c r="H16" s="56">
        <v>8</v>
      </c>
      <c r="I16" s="49">
        <v>2.5</v>
      </c>
      <c r="J16" s="49">
        <v>11</v>
      </c>
      <c r="K16" s="49">
        <v>3.5</v>
      </c>
    </row>
    <row r="17" spans="1:11" ht="15.75">
      <c r="A17" s="48">
        <v>12</v>
      </c>
      <c r="B17" s="25" t="s">
        <v>167</v>
      </c>
      <c r="C17" s="49"/>
      <c r="D17" s="49"/>
      <c r="E17" s="49"/>
      <c r="F17" s="49"/>
      <c r="G17" s="49"/>
      <c r="H17" s="56"/>
      <c r="I17" s="49"/>
      <c r="J17" s="49"/>
      <c r="K17" s="49"/>
    </row>
    <row r="18" spans="1:11" ht="15.75">
      <c r="A18" s="48">
        <v>13</v>
      </c>
      <c r="B18" s="25" t="s">
        <v>168</v>
      </c>
      <c r="C18" s="49"/>
      <c r="D18" s="49"/>
      <c r="E18" s="49"/>
      <c r="F18" s="49"/>
      <c r="G18" s="49"/>
      <c r="H18" s="56"/>
      <c r="I18" s="49"/>
      <c r="J18" s="49"/>
      <c r="K18" s="49"/>
    </row>
    <row r="19" spans="1:11" ht="15.75">
      <c r="A19" s="122" t="s">
        <v>22</v>
      </c>
      <c r="B19" s="122"/>
      <c r="C19" s="49"/>
      <c r="D19" s="49"/>
      <c r="E19" s="58"/>
      <c r="F19" s="49"/>
      <c r="G19" s="58"/>
      <c r="H19" s="56"/>
      <c r="I19" s="58"/>
      <c r="J19" s="49"/>
      <c r="K19" s="58"/>
    </row>
  </sheetData>
  <mergeCells count="10">
    <mergeCell ref="A19:B19"/>
    <mergeCell ref="A1:K1"/>
    <mergeCell ref="I2:K2"/>
    <mergeCell ref="A3:A4"/>
    <mergeCell ref="B3:B4"/>
    <mergeCell ref="C3:C4"/>
    <mergeCell ref="D3:E3"/>
    <mergeCell ref="F3:G3"/>
    <mergeCell ref="H3:I3"/>
    <mergeCell ref="J3:K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9"/>
  <sheetViews>
    <sheetView zoomScale="110" zoomScaleNormal="110" workbookViewId="0">
      <selection activeCell="Q16" sqref="Q16"/>
    </sheetView>
  </sheetViews>
  <sheetFormatPr defaultRowHeight="15"/>
  <cols>
    <col min="1" max="1" width="4.5703125" customWidth="1"/>
    <col min="2" max="2" width="11.85546875" customWidth="1"/>
    <col min="3" max="3" width="6.85546875" customWidth="1"/>
    <col min="4" max="5" width="7" customWidth="1"/>
    <col min="6" max="6" width="5" customWidth="1"/>
    <col min="7" max="7" width="6.28515625" customWidth="1"/>
    <col min="8" max="8" width="5.5703125" customWidth="1"/>
    <col min="9" max="9" width="6" customWidth="1"/>
    <col min="10" max="10" width="7.5703125" customWidth="1"/>
    <col min="13" max="13" width="7.5703125" customWidth="1"/>
    <col min="14" max="14" width="7" customWidth="1"/>
    <col min="15" max="15" width="7.42578125" customWidth="1"/>
    <col min="16" max="16" width="7.140625" customWidth="1"/>
  </cols>
  <sheetData>
    <row r="1" spans="1:16" ht="26.25" customHeight="1">
      <c r="A1" s="126" t="s">
        <v>34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27" t="s">
        <v>153</v>
      </c>
      <c r="N2" s="127"/>
      <c r="O2" s="127"/>
      <c r="P2" s="127"/>
    </row>
    <row r="3" spans="1:16" ht="85.5" customHeight="1">
      <c r="A3" s="128" t="s">
        <v>0</v>
      </c>
      <c r="B3" s="128" t="s">
        <v>21</v>
      </c>
      <c r="C3" s="125" t="s">
        <v>35</v>
      </c>
      <c r="D3" s="125"/>
      <c r="E3" s="125" t="s">
        <v>36</v>
      </c>
      <c r="F3" s="125"/>
      <c r="G3" s="125" t="s">
        <v>37</v>
      </c>
      <c r="H3" s="125"/>
      <c r="I3" s="125" t="s">
        <v>38</v>
      </c>
      <c r="J3" s="125"/>
      <c r="K3" s="125" t="s">
        <v>39</v>
      </c>
      <c r="L3" s="125"/>
      <c r="M3" s="125" t="s">
        <v>40</v>
      </c>
      <c r="N3" s="125"/>
      <c r="O3" s="125" t="s">
        <v>41</v>
      </c>
      <c r="P3" s="125"/>
    </row>
    <row r="4" spans="1:16" ht="15.75">
      <c r="A4" s="129"/>
      <c r="B4" s="129"/>
      <c r="C4" s="3" t="s">
        <v>27</v>
      </c>
      <c r="D4" s="3" t="s">
        <v>28</v>
      </c>
      <c r="E4" s="3" t="s">
        <v>27</v>
      </c>
      <c r="F4" s="3" t="s">
        <v>28</v>
      </c>
      <c r="G4" s="3" t="s">
        <v>27</v>
      </c>
      <c r="H4" s="3" t="s">
        <v>28</v>
      </c>
      <c r="I4" s="3" t="s">
        <v>27</v>
      </c>
      <c r="J4" s="3" t="s">
        <v>28</v>
      </c>
      <c r="K4" s="3" t="s">
        <v>27</v>
      </c>
      <c r="L4" s="3" t="s">
        <v>28</v>
      </c>
      <c r="M4" s="3" t="s">
        <v>27</v>
      </c>
      <c r="N4" s="3" t="s">
        <v>28</v>
      </c>
      <c r="O4" s="3" t="s">
        <v>27</v>
      </c>
      <c r="P4" s="3" t="s">
        <v>28</v>
      </c>
    </row>
    <row r="5" spans="1:16" ht="15.75">
      <c r="A5" s="48">
        <v>1</v>
      </c>
      <c r="B5" s="25" t="s">
        <v>157</v>
      </c>
      <c r="C5" s="59">
        <v>86</v>
      </c>
      <c r="D5" s="59">
        <v>24.5</v>
      </c>
      <c r="E5" s="59">
        <v>14</v>
      </c>
      <c r="F5" s="59">
        <v>3.9</v>
      </c>
      <c r="G5" s="59">
        <v>32</v>
      </c>
      <c r="H5" s="59">
        <v>9.1</v>
      </c>
      <c r="I5" s="59">
        <v>8</v>
      </c>
      <c r="J5" s="59">
        <v>22</v>
      </c>
      <c r="K5" s="59">
        <v>4</v>
      </c>
      <c r="L5" s="59">
        <v>11</v>
      </c>
      <c r="M5" s="59">
        <v>2</v>
      </c>
      <c r="N5" s="59">
        <v>0.5</v>
      </c>
      <c r="O5" s="59">
        <v>26</v>
      </c>
      <c r="P5" s="59">
        <v>7.4</v>
      </c>
    </row>
    <row r="6" spans="1:16" ht="15.75">
      <c r="A6" s="48">
        <v>2</v>
      </c>
      <c r="B6" s="25" t="s">
        <v>158</v>
      </c>
      <c r="C6" s="59">
        <v>103</v>
      </c>
      <c r="D6" s="59">
        <v>29.4</v>
      </c>
      <c r="E6" s="59">
        <v>18</v>
      </c>
      <c r="F6" s="59">
        <v>5.0999999999999996</v>
      </c>
      <c r="G6" s="59">
        <v>24</v>
      </c>
      <c r="H6" s="59">
        <v>6.8</v>
      </c>
      <c r="I6" s="59">
        <v>12</v>
      </c>
      <c r="J6" s="59">
        <v>3.4</v>
      </c>
      <c r="K6" s="59">
        <v>13</v>
      </c>
      <c r="L6" s="59">
        <v>3.7</v>
      </c>
      <c r="M6" s="59">
        <v>4</v>
      </c>
      <c r="N6" s="59">
        <v>1.1000000000000001</v>
      </c>
      <c r="O6" s="59">
        <v>32</v>
      </c>
      <c r="P6" s="59">
        <v>9.1</v>
      </c>
    </row>
    <row r="7" spans="1:16" ht="15.75">
      <c r="A7" s="48">
        <v>3</v>
      </c>
      <c r="B7" s="25" t="s">
        <v>159</v>
      </c>
      <c r="C7" s="59">
        <v>100</v>
      </c>
      <c r="D7" s="59">
        <v>0</v>
      </c>
      <c r="E7" s="59">
        <v>34</v>
      </c>
      <c r="F7" s="59">
        <v>0</v>
      </c>
      <c r="G7" s="59">
        <v>20</v>
      </c>
      <c r="H7" s="59">
        <v>0</v>
      </c>
      <c r="I7" s="59">
        <v>13</v>
      </c>
      <c r="J7" s="59">
        <v>0</v>
      </c>
      <c r="K7" s="59">
        <v>14</v>
      </c>
      <c r="L7" s="59">
        <v>0</v>
      </c>
      <c r="M7" s="59">
        <v>0</v>
      </c>
      <c r="N7" s="59">
        <v>0</v>
      </c>
      <c r="O7" s="59">
        <v>19</v>
      </c>
      <c r="P7" s="59">
        <v>0</v>
      </c>
    </row>
    <row r="8" spans="1:16" ht="15.75">
      <c r="A8" s="73"/>
      <c r="B8" s="74" t="s">
        <v>207</v>
      </c>
      <c r="C8" s="59">
        <f t="shared" ref="C8:P8" si="0">SUM(C5:C7)</f>
        <v>289</v>
      </c>
      <c r="D8" s="59">
        <f t="shared" si="0"/>
        <v>53.9</v>
      </c>
      <c r="E8" s="59">
        <f t="shared" si="0"/>
        <v>66</v>
      </c>
      <c r="F8" s="59">
        <f t="shared" si="0"/>
        <v>9</v>
      </c>
      <c r="G8" s="59">
        <f t="shared" si="0"/>
        <v>76</v>
      </c>
      <c r="H8" s="59">
        <f t="shared" si="0"/>
        <v>15.899999999999999</v>
      </c>
      <c r="I8" s="59">
        <f t="shared" si="0"/>
        <v>33</v>
      </c>
      <c r="J8" s="59">
        <f t="shared" si="0"/>
        <v>25.4</v>
      </c>
      <c r="K8" s="59">
        <f t="shared" si="0"/>
        <v>31</v>
      </c>
      <c r="L8" s="59">
        <f t="shared" si="0"/>
        <v>14.7</v>
      </c>
      <c r="M8" s="59">
        <f t="shared" si="0"/>
        <v>6</v>
      </c>
      <c r="N8" s="59">
        <f t="shared" si="0"/>
        <v>1.6</v>
      </c>
      <c r="O8" s="59">
        <f t="shared" si="0"/>
        <v>77</v>
      </c>
      <c r="P8" s="59">
        <f t="shared" si="0"/>
        <v>16.5</v>
      </c>
    </row>
    <row r="9" spans="1:16" ht="15.75">
      <c r="A9" s="48">
        <v>4</v>
      </c>
      <c r="B9" s="25" t="s">
        <v>160</v>
      </c>
      <c r="C9" s="59">
        <v>183</v>
      </c>
      <c r="D9" s="59">
        <v>52.2</v>
      </c>
      <c r="E9" s="59">
        <v>51</v>
      </c>
      <c r="F9" s="59">
        <v>14.5</v>
      </c>
      <c r="G9" s="59">
        <v>42</v>
      </c>
      <c r="H9" s="59">
        <v>11.9</v>
      </c>
      <c r="I9" s="59">
        <v>15</v>
      </c>
      <c r="J9" s="59">
        <v>4.2</v>
      </c>
      <c r="K9" s="59">
        <v>21</v>
      </c>
      <c r="L9" s="59">
        <v>5.9</v>
      </c>
      <c r="M9" s="59">
        <v>5</v>
      </c>
      <c r="N9" s="59">
        <v>1.4</v>
      </c>
      <c r="O9" s="59">
        <v>49</v>
      </c>
      <c r="P9" s="59">
        <v>13.9</v>
      </c>
    </row>
    <row r="10" spans="1:16" ht="15.75">
      <c r="A10" s="48">
        <v>5</v>
      </c>
      <c r="B10" s="25" t="s">
        <v>161</v>
      </c>
      <c r="C10" s="59">
        <v>285</v>
      </c>
      <c r="D10" s="59">
        <v>81.400000000000006</v>
      </c>
      <c r="E10" s="59">
        <v>75</v>
      </c>
      <c r="F10" s="59">
        <v>21.4</v>
      </c>
      <c r="G10" s="59">
        <v>104</v>
      </c>
      <c r="H10" s="59">
        <v>29.7</v>
      </c>
      <c r="I10" s="59">
        <v>36</v>
      </c>
      <c r="J10" s="59">
        <v>10.199999999999999</v>
      </c>
      <c r="K10" s="59">
        <v>25</v>
      </c>
      <c r="L10" s="59">
        <v>7.1</v>
      </c>
      <c r="M10" s="59">
        <v>8</v>
      </c>
      <c r="N10" s="59">
        <v>2.2000000000000002</v>
      </c>
      <c r="O10" s="59">
        <v>37</v>
      </c>
      <c r="P10" s="59">
        <v>10.5</v>
      </c>
    </row>
    <row r="11" spans="1:16" ht="15.75">
      <c r="A11" s="48">
        <v>6</v>
      </c>
      <c r="B11" s="25" t="s">
        <v>162</v>
      </c>
      <c r="C11" s="90">
        <v>203</v>
      </c>
      <c r="D11" s="91">
        <v>57.9</v>
      </c>
      <c r="E11" s="92">
        <v>53</v>
      </c>
      <c r="F11" s="91">
        <v>15.1</v>
      </c>
      <c r="G11" s="92">
        <v>65</v>
      </c>
      <c r="H11" s="91">
        <v>18.5</v>
      </c>
      <c r="I11" s="92">
        <v>26</v>
      </c>
      <c r="J11" s="91">
        <v>7.4</v>
      </c>
      <c r="K11" s="92">
        <v>13</v>
      </c>
      <c r="L11" s="91">
        <v>3.7</v>
      </c>
      <c r="M11" s="92">
        <v>4</v>
      </c>
      <c r="N11" s="91">
        <v>1.1000000000000001</v>
      </c>
      <c r="O11" s="92">
        <v>42</v>
      </c>
      <c r="P11" s="91">
        <v>11.9</v>
      </c>
    </row>
    <row r="12" spans="1:16" ht="15.75">
      <c r="A12" s="48">
        <v>7</v>
      </c>
      <c r="B12" s="25" t="s">
        <v>210</v>
      </c>
      <c r="C12" s="112">
        <f>SUM(C8:C11)</f>
        <v>960</v>
      </c>
      <c r="D12" s="113"/>
      <c r="E12" s="114">
        <f>SUM(E8:E11)</f>
        <v>245</v>
      </c>
      <c r="F12" s="113"/>
      <c r="G12" s="114">
        <f>SUM(G8:G11)</f>
        <v>287</v>
      </c>
      <c r="H12" s="113"/>
      <c r="I12" s="114">
        <f>SUM(I8:I11)</f>
        <v>110</v>
      </c>
      <c r="J12" s="113"/>
      <c r="K12" s="114">
        <f>SUM(K8:K11)</f>
        <v>90</v>
      </c>
      <c r="L12" s="113"/>
      <c r="M12" s="114">
        <f>SUM(M8:M11)</f>
        <v>23</v>
      </c>
      <c r="N12" s="113"/>
      <c r="O12" s="114">
        <f>SUM(O8:O11)</f>
        <v>205</v>
      </c>
      <c r="P12" s="113"/>
    </row>
    <row r="13" spans="1:16" ht="15.75">
      <c r="A13" s="48">
        <v>8</v>
      </c>
      <c r="B13" s="25" t="s">
        <v>163</v>
      </c>
      <c r="C13" s="59">
        <v>376</v>
      </c>
      <c r="D13" s="59"/>
      <c r="E13" s="59">
        <v>69</v>
      </c>
      <c r="F13" s="59"/>
      <c r="G13" s="59">
        <v>118</v>
      </c>
      <c r="H13" s="59"/>
      <c r="I13" s="59">
        <v>57</v>
      </c>
      <c r="J13" s="59"/>
      <c r="K13" s="59">
        <v>42</v>
      </c>
      <c r="L13" s="59"/>
      <c r="M13" s="59">
        <v>3</v>
      </c>
      <c r="N13" s="59"/>
      <c r="O13" s="59">
        <v>84</v>
      </c>
      <c r="P13" s="59"/>
    </row>
    <row r="14" spans="1:16" ht="15.75">
      <c r="A14" s="48">
        <v>9</v>
      </c>
      <c r="B14" s="25" t="s">
        <v>164</v>
      </c>
      <c r="C14" s="59">
        <v>225</v>
      </c>
      <c r="D14" s="59">
        <v>64.2</v>
      </c>
      <c r="E14" s="59">
        <v>51</v>
      </c>
      <c r="F14" s="59">
        <v>14.6</v>
      </c>
      <c r="G14" s="59">
        <v>73</v>
      </c>
      <c r="H14" s="59">
        <v>20.8</v>
      </c>
      <c r="I14" s="59">
        <v>24</v>
      </c>
      <c r="J14" s="59">
        <v>6.8</v>
      </c>
      <c r="K14" s="59">
        <v>22</v>
      </c>
      <c r="L14" s="59">
        <v>6.2</v>
      </c>
      <c r="M14" s="59">
        <v>5</v>
      </c>
      <c r="N14" s="59">
        <v>1.4</v>
      </c>
      <c r="O14" s="59">
        <v>50</v>
      </c>
      <c r="P14" s="59">
        <v>14.2</v>
      </c>
    </row>
    <row r="15" spans="1:16" ht="15.75">
      <c r="A15" s="48">
        <v>10</v>
      </c>
      <c r="B15" s="25" t="s">
        <v>165</v>
      </c>
      <c r="C15" s="59">
        <v>180</v>
      </c>
      <c r="D15" s="59">
        <v>51.4</v>
      </c>
      <c r="E15" s="59">
        <v>50</v>
      </c>
      <c r="F15" s="59">
        <v>14.2</v>
      </c>
      <c r="G15" s="59">
        <v>68</v>
      </c>
      <c r="H15" s="59">
        <v>19.399999999999999</v>
      </c>
      <c r="I15" s="59">
        <v>18</v>
      </c>
      <c r="J15" s="59">
        <v>5.0999999999999996</v>
      </c>
      <c r="K15" s="59">
        <v>19</v>
      </c>
      <c r="L15" s="59">
        <v>5.4</v>
      </c>
      <c r="M15" s="59">
        <v>1</v>
      </c>
      <c r="N15" s="59">
        <v>0.2</v>
      </c>
      <c r="O15" s="59">
        <v>24</v>
      </c>
      <c r="P15" s="59">
        <v>6.8</v>
      </c>
    </row>
    <row r="16" spans="1:16" ht="15.75">
      <c r="A16" s="48">
        <v>11</v>
      </c>
      <c r="B16" s="25" t="s">
        <v>166</v>
      </c>
      <c r="C16" s="59">
        <v>300</v>
      </c>
      <c r="D16" s="59">
        <v>85.6</v>
      </c>
      <c r="E16" s="59">
        <v>59</v>
      </c>
      <c r="F16" s="59">
        <v>16.8</v>
      </c>
      <c r="G16" s="59">
        <v>121</v>
      </c>
      <c r="H16" s="59">
        <v>34.5</v>
      </c>
      <c r="I16" s="59">
        <v>45</v>
      </c>
      <c r="J16" s="59">
        <v>12.8</v>
      </c>
      <c r="K16" s="59">
        <v>35</v>
      </c>
      <c r="L16" s="59">
        <v>9.9</v>
      </c>
      <c r="M16" s="59">
        <v>4</v>
      </c>
      <c r="N16" s="59">
        <v>1.1000000000000001</v>
      </c>
      <c r="O16" s="59">
        <v>36</v>
      </c>
      <c r="P16" s="59">
        <v>10.199999999999999</v>
      </c>
    </row>
    <row r="17" spans="1:16" ht="15.75">
      <c r="A17" s="48">
        <v>12</v>
      </c>
      <c r="B17" s="25" t="s">
        <v>167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ht="15.75">
      <c r="A18" s="48">
        <v>13</v>
      </c>
      <c r="B18" s="25" t="s">
        <v>168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spans="1:16" ht="15.75">
      <c r="A19" s="122" t="s">
        <v>22</v>
      </c>
      <c r="B19" s="122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</sheetData>
  <mergeCells count="12">
    <mergeCell ref="C3:D3"/>
    <mergeCell ref="A19:B19"/>
    <mergeCell ref="A1:P1"/>
    <mergeCell ref="M2:P2"/>
    <mergeCell ref="A3:A4"/>
    <mergeCell ref="B3:B4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4"/>
  <sheetViews>
    <sheetView workbookViewId="0">
      <selection activeCell="T30" sqref="T30"/>
    </sheetView>
  </sheetViews>
  <sheetFormatPr defaultRowHeight="15"/>
  <cols>
    <col min="1" max="1" width="5.85546875" customWidth="1"/>
    <col min="2" max="2" width="10.28515625" customWidth="1"/>
    <col min="3" max="3" width="8.140625" customWidth="1"/>
    <col min="4" max="4" width="5" customWidth="1"/>
    <col min="5" max="5" width="6.7109375" customWidth="1"/>
    <col min="6" max="6" width="7.28515625" customWidth="1"/>
    <col min="7" max="7" width="6.85546875" customWidth="1"/>
    <col min="8" max="8" width="5.42578125" customWidth="1"/>
    <col min="9" max="9" width="7.42578125" customWidth="1"/>
    <col min="10" max="10" width="5.85546875" customWidth="1"/>
    <col min="11" max="11" width="7.42578125" customWidth="1"/>
    <col min="12" max="12" width="4.85546875" customWidth="1"/>
    <col min="13" max="13" width="7.42578125" customWidth="1"/>
    <col min="14" max="14" width="4.28515625" customWidth="1"/>
    <col min="15" max="15" width="5" customWidth="1"/>
    <col min="16" max="16" width="4.42578125" customWidth="1"/>
    <col min="17" max="17" width="7.28515625" customWidth="1"/>
    <col min="18" max="18" width="5.28515625" customWidth="1"/>
    <col min="19" max="19" width="5.85546875" customWidth="1"/>
    <col min="20" max="20" width="5.5703125" customWidth="1"/>
    <col min="21" max="21" width="6" customWidth="1"/>
    <col min="22" max="22" width="7.42578125" customWidth="1"/>
  </cols>
  <sheetData>
    <row r="1" spans="1:22" ht="20.25">
      <c r="A1" s="130" t="s">
        <v>42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</row>
    <row r="2" spans="1:22" ht="2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32" t="s">
        <v>154</v>
      </c>
      <c r="T2" s="132"/>
      <c r="U2" s="132"/>
      <c r="V2" s="132"/>
    </row>
    <row r="3" spans="1:22" ht="94.5" customHeight="1">
      <c r="A3" s="128" t="s">
        <v>0</v>
      </c>
      <c r="B3" s="128" t="s">
        <v>21</v>
      </c>
      <c r="C3" s="133" t="s">
        <v>43</v>
      </c>
      <c r="D3" s="133"/>
      <c r="E3" s="133" t="s">
        <v>44</v>
      </c>
      <c r="F3" s="133"/>
      <c r="G3" s="133" t="s">
        <v>45</v>
      </c>
      <c r="H3" s="133"/>
      <c r="I3" s="133" t="s">
        <v>46</v>
      </c>
      <c r="J3" s="133"/>
      <c r="K3" s="133" t="s">
        <v>47</v>
      </c>
      <c r="L3" s="133"/>
      <c r="M3" s="133" t="s">
        <v>48</v>
      </c>
      <c r="N3" s="133"/>
      <c r="O3" s="133" t="s">
        <v>49</v>
      </c>
      <c r="P3" s="133"/>
      <c r="Q3" s="133" t="s">
        <v>50</v>
      </c>
      <c r="R3" s="133"/>
      <c r="S3" s="133" t="s">
        <v>51</v>
      </c>
      <c r="T3" s="133"/>
      <c r="U3" s="133" t="s">
        <v>52</v>
      </c>
      <c r="V3" s="133"/>
    </row>
    <row r="4" spans="1:22" ht="33" customHeight="1">
      <c r="A4" s="129"/>
      <c r="B4" s="129"/>
      <c r="C4" s="3" t="s">
        <v>27</v>
      </c>
      <c r="D4" s="3" t="s">
        <v>28</v>
      </c>
      <c r="E4" s="3" t="s">
        <v>27</v>
      </c>
      <c r="F4" s="3" t="s">
        <v>28</v>
      </c>
      <c r="G4" s="3" t="s">
        <v>27</v>
      </c>
      <c r="H4" s="3" t="s">
        <v>28</v>
      </c>
      <c r="I4" s="3" t="s">
        <v>27</v>
      </c>
      <c r="J4" s="3" t="s">
        <v>28</v>
      </c>
      <c r="K4" s="3" t="s">
        <v>27</v>
      </c>
      <c r="L4" s="3" t="s">
        <v>28</v>
      </c>
      <c r="M4" s="3" t="s">
        <v>27</v>
      </c>
      <c r="N4" s="3" t="s">
        <v>28</v>
      </c>
      <c r="O4" s="3" t="s">
        <v>27</v>
      </c>
      <c r="P4" s="3" t="s">
        <v>28</v>
      </c>
      <c r="Q4" s="3" t="s">
        <v>27</v>
      </c>
      <c r="R4" s="3" t="s">
        <v>28</v>
      </c>
      <c r="S4" s="3" t="s">
        <v>27</v>
      </c>
      <c r="T4" s="3" t="s">
        <v>28</v>
      </c>
      <c r="U4" s="3" t="s">
        <v>27</v>
      </c>
      <c r="V4" s="3" t="s">
        <v>28</v>
      </c>
    </row>
    <row r="5" spans="1:22" ht="15.75">
      <c r="A5" s="48">
        <v>1</v>
      </c>
      <c r="B5" s="25" t="s">
        <v>157</v>
      </c>
      <c r="C5" s="48">
        <v>2</v>
      </c>
      <c r="D5" s="48">
        <v>0.5</v>
      </c>
      <c r="E5" s="48">
        <v>44</v>
      </c>
      <c r="F5" s="48">
        <v>12.5</v>
      </c>
      <c r="G5" s="48">
        <v>2</v>
      </c>
      <c r="H5" s="48">
        <v>0.5</v>
      </c>
      <c r="I5" s="48">
        <v>6</v>
      </c>
      <c r="J5" s="48">
        <v>1.7</v>
      </c>
      <c r="K5" s="48">
        <v>6</v>
      </c>
      <c r="L5" s="48">
        <v>1.7</v>
      </c>
      <c r="M5" s="48">
        <v>7</v>
      </c>
      <c r="N5" s="48">
        <v>1.9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2</v>
      </c>
      <c r="V5" s="48">
        <v>0.5</v>
      </c>
    </row>
    <row r="6" spans="1:22" ht="15.75">
      <c r="A6" s="48">
        <v>2</v>
      </c>
      <c r="B6" s="25" t="s">
        <v>158</v>
      </c>
      <c r="C6" s="59">
        <v>3</v>
      </c>
      <c r="D6" s="59">
        <v>0.8</v>
      </c>
      <c r="E6" s="59">
        <v>39</v>
      </c>
      <c r="F6" s="59">
        <v>11.1</v>
      </c>
      <c r="G6" s="59">
        <v>7</v>
      </c>
      <c r="H6" s="59">
        <v>1.9</v>
      </c>
      <c r="I6" s="59">
        <v>5</v>
      </c>
      <c r="J6" s="59">
        <v>1.4</v>
      </c>
      <c r="K6" s="59">
        <v>16</v>
      </c>
      <c r="L6" s="59">
        <v>4.5</v>
      </c>
      <c r="M6" s="59">
        <v>3</v>
      </c>
      <c r="N6" s="59">
        <v>0.8</v>
      </c>
      <c r="O6" s="59">
        <v>1</v>
      </c>
      <c r="P6" s="59">
        <v>0.2</v>
      </c>
      <c r="Q6" s="59">
        <v>0</v>
      </c>
      <c r="R6" s="59">
        <v>0</v>
      </c>
      <c r="S6" s="59">
        <v>0</v>
      </c>
      <c r="T6" s="59">
        <v>0</v>
      </c>
      <c r="U6" s="59">
        <v>29</v>
      </c>
      <c r="V6" s="59">
        <v>8.1999999999999993</v>
      </c>
    </row>
    <row r="7" spans="1:22" ht="15.75">
      <c r="A7" s="48">
        <v>3</v>
      </c>
      <c r="B7" s="25" t="s">
        <v>159</v>
      </c>
      <c r="C7" s="59">
        <v>0</v>
      </c>
      <c r="D7" s="59">
        <v>0</v>
      </c>
      <c r="E7" s="59">
        <v>54</v>
      </c>
      <c r="F7" s="59">
        <v>0</v>
      </c>
      <c r="G7" s="59">
        <v>7</v>
      </c>
      <c r="H7" s="59">
        <v>0</v>
      </c>
      <c r="I7" s="59">
        <v>8</v>
      </c>
      <c r="J7" s="59">
        <v>0</v>
      </c>
      <c r="K7" s="59">
        <v>12</v>
      </c>
      <c r="L7" s="59">
        <v>0</v>
      </c>
      <c r="M7" s="59">
        <v>0</v>
      </c>
      <c r="N7" s="59">
        <v>0</v>
      </c>
      <c r="O7" s="59">
        <v>2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17</v>
      </c>
      <c r="V7" s="59">
        <v>0</v>
      </c>
    </row>
    <row r="8" spans="1:22" ht="15.75">
      <c r="A8" s="73"/>
      <c r="B8" s="74" t="s">
        <v>206</v>
      </c>
      <c r="C8" s="59">
        <f t="shared" ref="C8:V8" si="0">SUM(C5:C7)</f>
        <v>5</v>
      </c>
      <c r="D8" s="59">
        <f t="shared" si="0"/>
        <v>1.3</v>
      </c>
      <c r="E8" s="59">
        <f t="shared" si="0"/>
        <v>137</v>
      </c>
      <c r="F8" s="59">
        <f t="shared" si="0"/>
        <v>23.6</v>
      </c>
      <c r="G8" s="59">
        <f t="shared" si="0"/>
        <v>16</v>
      </c>
      <c r="H8" s="59">
        <f t="shared" si="0"/>
        <v>2.4</v>
      </c>
      <c r="I8" s="59">
        <f t="shared" si="0"/>
        <v>19</v>
      </c>
      <c r="J8" s="59">
        <f t="shared" si="0"/>
        <v>3.0999999999999996</v>
      </c>
      <c r="K8" s="59">
        <f t="shared" si="0"/>
        <v>34</v>
      </c>
      <c r="L8" s="59">
        <f t="shared" si="0"/>
        <v>6.2</v>
      </c>
      <c r="M8" s="59">
        <f t="shared" si="0"/>
        <v>10</v>
      </c>
      <c r="N8" s="59">
        <f t="shared" si="0"/>
        <v>2.7</v>
      </c>
      <c r="O8" s="59">
        <f t="shared" si="0"/>
        <v>3</v>
      </c>
      <c r="P8" s="59">
        <f t="shared" si="0"/>
        <v>0.2</v>
      </c>
      <c r="Q8" s="59">
        <f t="shared" si="0"/>
        <v>0</v>
      </c>
      <c r="R8" s="59">
        <f t="shared" si="0"/>
        <v>0</v>
      </c>
      <c r="S8" s="59">
        <f t="shared" si="0"/>
        <v>0</v>
      </c>
      <c r="T8" s="59">
        <f t="shared" si="0"/>
        <v>0</v>
      </c>
      <c r="U8" s="59">
        <f t="shared" si="0"/>
        <v>48</v>
      </c>
      <c r="V8" s="59">
        <f t="shared" si="0"/>
        <v>8.6999999999999993</v>
      </c>
    </row>
    <row r="9" spans="1:22" ht="15.75">
      <c r="A9" s="48">
        <v>4</v>
      </c>
      <c r="B9" s="25" t="s">
        <v>160</v>
      </c>
      <c r="C9" s="59">
        <v>0</v>
      </c>
      <c r="D9" s="59">
        <v>0</v>
      </c>
      <c r="E9" s="59">
        <v>110</v>
      </c>
      <c r="F9" s="59">
        <v>31.4</v>
      </c>
      <c r="G9" s="59">
        <v>6</v>
      </c>
      <c r="H9" s="59">
        <v>1.7</v>
      </c>
      <c r="I9" s="59">
        <v>12</v>
      </c>
      <c r="J9" s="59">
        <v>3.4</v>
      </c>
      <c r="K9" s="59">
        <v>22</v>
      </c>
      <c r="L9" s="59">
        <v>6.2</v>
      </c>
      <c r="M9" s="59">
        <v>6</v>
      </c>
      <c r="N9" s="59">
        <v>1.7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27</v>
      </c>
      <c r="V9" s="59">
        <v>7.7</v>
      </c>
    </row>
    <row r="10" spans="1:22" ht="15.75">
      <c r="A10" s="48">
        <v>5</v>
      </c>
      <c r="B10" s="25" t="s">
        <v>161</v>
      </c>
      <c r="C10" s="59">
        <v>0</v>
      </c>
      <c r="D10" s="59">
        <v>0</v>
      </c>
      <c r="E10" s="59">
        <v>179</v>
      </c>
      <c r="F10" s="59">
        <v>51.1</v>
      </c>
      <c r="G10" s="59">
        <v>13</v>
      </c>
      <c r="H10" s="59">
        <v>3.7</v>
      </c>
      <c r="I10" s="59">
        <v>23</v>
      </c>
      <c r="J10" s="59">
        <v>6.5</v>
      </c>
      <c r="K10" s="59">
        <v>16</v>
      </c>
      <c r="L10" s="59">
        <v>4.5</v>
      </c>
      <c r="M10" s="59">
        <v>3</v>
      </c>
      <c r="N10" s="59">
        <v>0.8</v>
      </c>
      <c r="O10" s="59">
        <v>2</v>
      </c>
      <c r="P10" s="59">
        <v>0.5</v>
      </c>
      <c r="Q10" s="59">
        <v>0</v>
      </c>
      <c r="R10" s="59">
        <v>0</v>
      </c>
      <c r="S10" s="59">
        <v>0</v>
      </c>
      <c r="T10" s="59">
        <v>0</v>
      </c>
      <c r="U10" s="59">
        <v>49</v>
      </c>
      <c r="V10" s="59">
        <v>13.9</v>
      </c>
    </row>
    <row r="11" spans="1:22" ht="15.75">
      <c r="A11" s="48">
        <v>6</v>
      </c>
      <c r="B11" s="25" t="s">
        <v>162</v>
      </c>
      <c r="C11" s="90">
        <v>0</v>
      </c>
      <c r="D11" s="93">
        <v>0</v>
      </c>
      <c r="E11" s="90">
        <v>125</v>
      </c>
      <c r="F11" s="86">
        <v>35.700000000000003</v>
      </c>
      <c r="G11" s="90">
        <v>3</v>
      </c>
      <c r="H11" s="86">
        <v>1</v>
      </c>
      <c r="I11" s="90">
        <v>21</v>
      </c>
      <c r="J11" s="86">
        <v>5.9</v>
      </c>
      <c r="K11" s="90">
        <v>15</v>
      </c>
      <c r="L11" s="86">
        <v>4.2</v>
      </c>
      <c r="M11" s="90">
        <v>2</v>
      </c>
      <c r="N11" s="89">
        <v>0.5</v>
      </c>
      <c r="O11" s="90">
        <v>0</v>
      </c>
      <c r="P11" s="89">
        <v>0</v>
      </c>
      <c r="Q11" s="90">
        <v>0</v>
      </c>
      <c r="R11" s="89">
        <v>0</v>
      </c>
      <c r="S11" s="90">
        <v>0</v>
      </c>
      <c r="T11" s="89">
        <v>0</v>
      </c>
      <c r="U11" s="90">
        <v>37</v>
      </c>
      <c r="V11" s="86">
        <v>10.5</v>
      </c>
    </row>
    <row r="12" spans="1:22" ht="15.75">
      <c r="A12" s="48">
        <v>7</v>
      </c>
      <c r="B12" s="25" t="s">
        <v>163</v>
      </c>
      <c r="C12" s="59">
        <v>0</v>
      </c>
      <c r="D12" s="59"/>
      <c r="E12" s="59">
        <v>190</v>
      </c>
      <c r="F12" s="59"/>
      <c r="G12" s="59">
        <v>4</v>
      </c>
      <c r="H12" s="59"/>
      <c r="I12" s="59">
        <v>53</v>
      </c>
      <c r="J12" s="59"/>
      <c r="K12" s="59">
        <v>42</v>
      </c>
      <c r="L12" s="59"/>
      <c r="M12" s="59">
        <v>3</v>
      </c>
      <c r="N12" s="59"/>
      <c r="O12" s="59">
        <v>0</v>
      </c>
      <c r="P12" s="59"/>
      <c r="Q12" s="59">
        <v>0</v>
      </c>
      <c r="R12" s="59"/>
      <c r="S12" s="59">
        <v>0</v>
      </c>
      <c r="T12" s="59"/>
      <c r="U12" s="59">
        <v>84</v>
      </c>
      <c r="V12" s="59"/>
    </row>
    <row r="13" spans="1:22" ht="15.75">
      <c r="A13" s="48">
        <v>8</v>
      </c>
      <c r="B13" s="25" t="s">
        <v>164</v>
      </c>
      <c r="C13" s="59">
        <v>0</v>
      </c>
      <c r="D13" s="59">
        <v>0</v>
      </c>
      <c r="E13" s="59">
        <v>124</v>
      </c>
      <c r="F13" s="59">
        <v>35.4</v>
      </c>
      <c r="G13" s="59">
        <v>6</v>
      </c>
      <c r="H13" s="59">
        <v>1.7</v>
      </c>
      <c r="I13" s="59">
        <v>18</v>
      </c>
      <c r="J13" s="59">
        <v>5.0999999999999996</v>
      </c>
      <c r="K13" s="59">
        <v>24</v>
      </c>
      <c r="L13" s="59">
        <v>6.8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56</v>
      </c>
      <c r="V13" s="59">
        <v>15.9</v>
      </c>
    </row>
    <row r="14" spans="1:22" ht="15.75">
      <c r="A14" s="48">
        <v>9</v>
      </c>
      <c r="B14" s="25" t="s">
        <v>165</v>
      </c>
      <c r="C14" s="59">
        <v>1</v>
      </c>
      <c r="D14" s="59">
        <v>0.2</v>
      </c>
      <c r="E14" s="59">
        <v>117</v>
      </c>
      <c r="F14" s="59">
        <v>33.4</v>
      </c>
      <c r="G14" s="59">
        <v>6</v>
      </c>
      <c r="H14" s="59">
        <v>1.7</v>
      </c>
      <c r="I14" s="59">
        <v>12</v>
      </c>
      <c r="J14" s="59">
        <v>3.4</v>
      </c>
      <c r="K14" s="59">
        <v>18</v>
      </c>
      <c r="L14" s="59">
        <v>5.0999999999999996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26</v>
      </c>
      <c r="V14" s="59">
        <v>7.4</v>
      </c>
    </row>
    <row r="15" spans="1:22" ht="15.75">
      <c r="A15" s="48">
        <v>10</v>
      </c>
      <c r="B15" s="25" t="s">
        <v>166</v>
      </c>
      <c r="C15" s="59">
        <v>1</v>
      </c>
      <c r="D15" s="59">
        <v>0.2</v>
      </c>
      <c r="E15" s="59">
        <v>179</v>
      </c>
      <c r="F15" s="59">
        <v>51.1</v>
      </c>
      <c r="G15" s="59">
        <v>19</v>
      </c>
      <c r="H15" s="59">
        <v>5.4</v>
      </c>
      <c r="I15" s="59">
        <v>26</v>
      </c>
      <c r="J15" s="59">
        <v>7.4</v>
      </c>
      <c r="K15" s="59">
        <v>33</v>
      </c>
      <c r="L15" s="59">
        <v>9.4</v>
      </c>
      <c r="M15" s="59">
        <v>2</v>
      </c>
      <c r="N15" s="59">
        <v>0.5</v>
      </c>
      <c r="O15" s="59">
        <v>2</v>
      </c>
      <c r="P15" s="59">
        <v>0.5</v>
      </c>
      <c r="Q15" s="59">
        <v>0</v>
      </c>
      <c r="R15" s="59">
        <v>0</v>
      </c>
      <c r="S15" s="59">
        <v>0</v>
      </c>
      <c r="T15" s="59">
        <v>0</v>
      </c>
      <c r="U15" s="59">
        <v>38</v>
      </c>
      <c r="V15" s="59">
        <v>10.8</v>
      </c>
    </row>
    <row r="16" spans="1:22" ht="15.75">
      <c r="A16" s="48">
        <v>11</v>
      </c>
      <c r="B16" s="25" t="s">
        <v>167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</row>
    <row r="17" spans="1:22" ht="15.75">
      <c r="A17" s="48">
        <v>12</v>
      </c>
      <c r="B17" s="25" t="s">
        <v>168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</row>
    <row r="18" spans="1:22" ht="15.75">
      <c r="A18" s="122" t="s">
        <v>22</v>
      </c>
      <c r="B18" s="122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</row>
    <row r="24" spans="1:22" ht="24" customHeight="1"/>
  </sheetData>
  <mergeCells count="15">
    <mergeCell ref="A18:B18"/>
    <mergeCell ref="A1:V1"/>
    <mergeCell ref="S2:V2"/>
    <mergeCell ref="A3:A4"/>
    <mergeCell ref="B3:B4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</mergeCells>
  <pageMargins left="0.7" right="0.7" top="0.75" bottom="0.75" header="0.3" footer="0.3"/>
  <pageSetup paperSize="9" scale="9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23"/>
  <sheetViews>
    <sheetView topLeftCell="B4" workbookViewId="0">
      <selection activeCell="AI15" sqref="AI15"/>
    </sheetView>
  </sheetViews>
  <sheetFormatPr defaultRowHeight="15.75"/>
  <cols>
    <col min="1" max="1" width="5" style="1" customWidth="1"/>
    <col min="2" max="2" width="11.85546875" style="1" customWidth="1"/>
    <col min="3" max="3" width="5.28515625" style="1" customWidth="1"/>
    <col min="4" max="4" width="4.85546875" style="1" customWidth="1"/>
    <col min="5" max="5" width="4.28515625" style="1" customWidth="1"/>
    <col min="6" max="7" width="6.140625" style="1" customWidth="1"/>
    <col min="8" max="8" width="4" style="1" customWidth="1"/>
    <col min="9" max="10" width="6.140625" style="1" customWidth="1"/>
    <col min="11" max="11" width="4" style="1" customWidth="1"/>
    <col min="12" max="13" width="6.140625" style="1" customWidth="1"/>
    <col min="14" max="14" width="4.140625" style="1" customWidth="1"/>
    <col min="15" max="15" width="6.140625" style="1" customWidth="1"/>
    <col min="16" max="16" width="5.42578125" style="1" customWidth="1"/>
    <col min="17" max="17" width="4.28515625" style="1" customWidth="1"/>
    <col min="18" max="19" width="6.140625" style="1" customWidth="1"/>
    <col min="20" max="20" width="3.140625" style="1" customWidth="1"/>
    <col min="21" max="21" width="6.140625" style="1" customWidth="1"/>
    <col min="22" max="22" width="5" style="1" customWidth="1"/>
    <col min="23" max="23" width="4.42578125" style="1" customWidth="1"/>
    <col min="24" max="24" width="6.140625" style="1" customWidth="1"/>
    <col min="25" max="25" width="4.85546875" style="1" customWidth="1"/>
    <col min="26" max="26" width="5.140625" style="1" customWidth="1"/>
    <col min="27" max="27" width="5.42578125" style="1" customWidth="1"/>
    <col min="28" max="28" width="5.85546875" style="1" customWidth="1"/>
    <col min="29" max="29" width="5" style="1" customWidth="1"/>
    <col min="30" max="41" width="6.140625" style="1" customWidth="1"/>
    <col min="42" max="16384" width="9.140625" style="1"/>
  </cols>
  <sheetData>
    <row r="1" spans="1:41" ht="18.75">
      <c r="A1" s="16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</row>
    <row r="2" spans="1:41" ht="19.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38" t="s">
        <v>150</v>
      </c>
      <c r="AN2" s="138"/>
      <c r="AO2" s="138"/>
    </row>
    <row r="3" spans="1:41" ht="30" customHeight="1">
      <c r="A3" s="135" t="s">
        <v>0</v>
      </c>
      <c r="B3" s="139" t="s">
        <v>21</v>
      </c>
      <c r="C3" s="134" t="s">
        <v>53</v>
      </c>
      <c r="D3" s="134"/>
      <c r="E3" s="134"/>
      <c r="F3" s="134" t="s">
        <v>4</v>
      </c>
      <c r="G3" s="134"/>
      <c r="H3" s="134"/>
      <c r="I3" s="134" t="s">
        <v>5</v>
      </c>
      <c r="J3" s="134"/>
      <c r="K3" s="134"/>
      <c r="L3" s="134" t="s">
        <v>6</v>
      </c>
      <c r="M3" s="134"/>
      <c r="N3" s="134"/>
      <c r="O3" s="134" t="s">
        <v>7</v>
      </c>
      <c r="P3" s="134"/>
      <c r="Q3" s="134"/>
      <c r="R3" s="134" t="s">
        <v>8</v>
      </c>
      <c r="S3" s="134"/>
      <c r="T3" s="134"/>
      <c r="U3" s="134" t="s">
        <v>9</v>
      </c>
      <c r="V3" s="134"/>
      <c r="W3" s="134"/>
      <c r="X3" s="134" t="s">
        <v>10</v>
      </c>
      <c r="Y3" s="134"/>
      <c r="Z3" s="134"/>
      <c r="AA3" s="134" t="s">
        <v>11</v>
      </c>
      <c r="AB3" s="134"/>
      <c r="AC3" s="134"/>
      <c r="AD3" s="134" t="s">
        <v>12</v>
      </c>
      <c r="AE3" s="134"/>
      <c r="AF3" s="134"/>
      <c r="AG3" s="134" t="s">
        <v>13</v>
      </c>
      <c r="AH3" s="134"/>
      <c r="AI3" s="134"/>
      <c r="AJ3" s="134" t="s">
        <v>14</v>
      </c>
      <c r="AK3" s="134"/>
      <c r="AL3" s="134"/>
      <c r="AM3" s="134" t="s">
        <v>15</v>
      </c>
      <c r="AN3" s="134"/>
      <c r="AO3" s="134"/>
    </row>
    <row r="4" spans="1:41" ht="15.75" customHeight="1">
      <c r="A4" s="136"/>
      <c r="B4" s="140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</row>
    <row r="5" spans="1:41" ht="96.75" customHeight="1">
      <c r="A5" s="137"/>
      <c r="B5" s="141"/>
      <c r="C5" s="23" t="s">
        <v>54</v>
      </c>
      <c r="D5" s="23" t="s">
        <v>55</v>
      </c>
      <c r="E5" s="23" t="s">
        <v>25</v>
      </c>
      <c r="F5" s="23" t="s">
        <v>54</v>
      </c>
      <c r="G5" s="23" t="s">
        <v>55</v>
      </c>
      <c r="H5" s="23" t="s">
        <v>25</v>
      </c>
      <c r="I5" s="23" t="s">
        <v>54</v>
      </c>
      <c r="J5" s="23" t="s">
        <v>55</v>
      </c>
      <c r="K5" s="23" t="s">
        <v>25</v>
      </c>
      <c r="L5" s="23" t="s">
        <v>54</v>
      </c>
      <c r="M5" s="23" t="s">
        <v>55</v>
      </c>
      <c r="N5" s="23" t="s">
        <v>25</v>
      </c>
      <c r="O5" s="23" t="s">
        <v>54</v>
      </c>
      <c r="P5" s="23" t="s">
        <v>55</v>
      </c>
      <c r="Q5" s="23" t="s">
        <v>25</v>
      </c>
      <c r="R5" s="23" t="s">
        <v>54</v>
      </c>
      <c r="S5" s="23" t="s">
        <v>55</v>
      </c>
      <c r="T5" s="23" t="s">
        <v>25</v>
      </c>
      <c r="U5" s="23" t="s">
        <v>54</v>
      </c>
      <c r="V5" s="23" t="s">
        <v>55</v>
      </c>
      <c r="W5" s="23" t="s">
        <v>25</v>
      </c>
      <c r="X5" s="23" t="s">
        <v>54</v>
      </c>
      <c r="Y5" s="23" t="s">
        <v>55</v>
      </c>
      <c r="Z5" s="23" t="s">
        <v>25</v>
      </c>
      <c r="AA5" s="23" t="s">
        <v>54</v>
      </c>
      <c r="AB5" s="23" t="s">
        <v>55</v>
      </c>
      <c r="AC5" s="23" t="s">
        <v>25</v>
      </c>
      <c r="AD5" s="23" t="s">
        <v>54</v>
      </c>
      <c r="AE5" s="23" t="s">
        <v>55</v>
      </c>
      <c r="AF5" s="23" t="s">
        <v>25</v>
      </c>
      <c r="AG5" s="23" t="s">
        <v>54</v>
      </c>
      <c r="AH5" s="23" t="s">
        <v>55</v>
      </c>
      <c r="AI5" s="23" t="s">
        <v>25</v>
      </c>
      <c r="AJ5" s="23" t="s">
        <v>54</v>
      </c>
      <c r="AK5" s="23" t="s">
        <v>55</v>
      </c>
      <c r="AL5" s="23" t="s">
        <v>25</v>
      </c>
      <c r="AM5" s="23" t="s">
        <v>54</v>
      </c>
      <c r="AN5" s="23" t="s">
        <v>55</v>
      </c>
      <c r="AO5" s="23" t="s">
        <v>25</v>
      </c>
    </row>
    <row r="6" spans="1:41">
      <c r="A6" s="3">
        <v>1</v>
      </c>
      <c r="B6" s="25" t="s">
        <v>157</v>
      </c>
      <c r="C6" s="3"/>
      <c r="D6" s="3"/>
      <c r="E6" s="26"/>
      <c r="F6" s="48">
        <v>29</v>
      </c>
      <c r="G6" s="48">
        <v>56</v>
      </c>
      <c r="H6" s="51">
        <v>1</v>
      </c>
      <c r="I6" s="3"/>
      <c r="J6" s="3"/>
      <c r="K6" s="26"/>
      <c r="L6" s="3"/>
      <c r="M6" s="3"/>
      <c r="N6" s="26"/>
      <c r="O6" s="3"/>
      <c r="P6" s="3"/>
      <c r="Q6" s="26"/>
      <c r="R6" s="3"/>
      <c r="S6" s="3"/>
      <c r="T6" s="26"/>
      <c r="U6" s="3"/>
      <c r="V6" s="3"/>
      <c r="W6" s="26"/>
      <c r="X6" s="3"/>
      <c r="Y6" s="3"/>
      <c r="Z6" s="26"/>
      <c r="AA6" s="3"/>
      <c r="AB6" s="3"/>
      <c r="AC6" s="26"/>
      <c r="AD6" s="3"/>
      <c r="AE6" s="3"/>
      <c r="AF6" s="26"/>
      <c r="AG6" s="3"/>
      <c r="AH6" s="3"/>
      <c r="AI6" s="26"/>
      <c r="AJ6" s="3"/>
      <c r="AK6" s="3"/>
      <c r="AL6" s="26"/>
      <c r="AM6" s="3"/>
      <c r="AN6" s="3"/>
      <c r="AO6" s="26"/>
    </row>
    <row r="7" spans="1:41">
      <c r="A7" s="3">
        <v>2</v>
      </c>
      <c r="B7" s="25" t="s">
        <v>158</v>
      </c>
      <c r="C7" s="3"/>
      <c r="D7" s="3"/>
      <c r="E7" s="26"/>
      <c r="F7" s="3"/>
      <c r="G7" s="3"/>
      <c r="H7" s="26"/>
      <c r="I7" s="48">
        <v>24</v>
      </c>
      <c r="J7" s="48">
        <v>79</v>
      </c>
      <c r="K7" s="60">
        <v>0</v>
      </c>
      <c r="L7" s="48"/>
      <c r="M7" s="48"/>
      <c r="N7" s="60"/>
      <c r="O7" s="48"/>
      <c r="P7" s="48"/>
      <c r="Q7" s="60"/>
      <c r="R7" s="48"/>
      <c r="S7" s="48"/>
      <c r="T7" s="60"/>
      <c r="U7" s="48"/>
      <c r="V7" s="48"/>
      <c r="W7" s="60"/>
      <c r="X7" s="48"/>
      <c r="Y7" s="48"/>
      <c r="Z7" s="60"/>
      <c r="AA7" s="48"/>
      <c r="AB7" s="48"/>
      <c r="AC7" s="60"/>
      <c r="AD7" s="48"/>
      <c r="AE7" s="48"/>
      <c r="AF7" s="60"/>
      <c r="AG7" s="48"/>
      <c r="AH7" s="48"/>
      <c r="AI7" s="60"/>
      <c r="AJ7" s="48"/>
      <c r="AK7" s="48"/>
      <c r="AL7" s="60"/>
      <c r="AM7" s="48"/>
      <c r="AN7" s="48"/>
      <c r="AO7" s="60"/>
    </row>
    <row r="8" spans="1:41">
      <c r="A8" s="3">
        <v>3</v>
      </c>
      <c r="B8" s="25" t="s">
        <v>159</v>
      </c>
      <c r="C8" s="3"/>
      <c r="D8" s="3"/>
      <c r="E8" s="26"/>
      <c r="F8" s="3"/>
      <c r="G8" s="3"/>
      <c r="H8" s="26"/>
      <c r="I8" s="48"/>
      <c r="J8" s="48"/>
      <c r="K8" s="60"/>
      <c r="L8" s="48">
        <v>34</v>
      </c>
      <c r="M8" s="48">
        <v>66</v>
      </c>
      <c r="N8" s="51">
        <v>0</v>
      </c>
      <c r="O8" s="48"/>
      <c r="P8" s="48"/>
      <c r="Q8" s="60"/>
      <c r="R8" s="48"/>
      <c r="S8" s="48"/>
      <c r="T8" s="60"/>
      <c r="U8" s="48"/>
      <c r="V8" s="48"/>
      <c r="W8" s="60"/>
      <c r="X8" s="48"/>
      <c r="Y8" s="48"/>
      <c r="Z8" s="60"/>
      <c r="AA8" s="48"/>
      <c r="AB8" s="48"/>
      <c r="AC8" s="60"/>
      <c r="AD8" s="48"/>
      <c r="AE8" s="48"/>
      <c r="AF8" s="60"/>
      <c r="AG8" s="48"/>
      <c r="AH8" s="48"/>
      <c r="AI8" s="60"/>
      <c r="AJ8" s="48"/>
      <c r="AK8" s="48"/>
      <c r="AL8" s="60"/>
      <c r="AM8" s="48"/>
      <c r="AN8" s="48"/>
      <c r="AO8" s="60"/>
    </row>
    <row r="9" spans="1:41">
      <c r="A9" s="3">
        <v>4</v>
      </c>
      <c r="B9" s="25" t="s">
        <v>160</v>
      </c>
      <c r="C9" s="3"/>
      <c r="D9" s="3"/>
      <c r="E9" s="26"/>
      <c r="F9" s="3"/>
      <c r="G9" s="3"/>
      <c r="H9" s="26"/>
      <c r="I9" s="48"/>
      <c r="J9" s="48"/>
      <c r="K9" s="60"/>
      <c r="L9" s="48"/>
      <c r="M9" s="48"/>
      <c r="N9" s="60"/>
      <c r="O9" s="48">
        <v>59</v>
      </c>
      <c r="P9" s="48">
        <v>124</v>
      </c>
      <c r="Q9" s="51">
        <v>0</v>
      </c>
      <c r="R9" s="48"/>
      <c r="S9" s="48"/>
      <c r="T9" s="60"/>
      <c r="U9" s="48"/>
      <c r="V9" s="48"/>
      <c r="W9" s="60"/>
      <c r="X9" s="48"/>
      <c r="Y9" s="48"/>
      <c r="Z9" s="60"/>
      <c r="AA9" s="48"/>
      <c r="AB9" s="48"/>
      <c r="AC9" s="60"/>
      <c r="AD9" s="48"/>
      <c r="AE9" s="48"/>
      <c r="AF9" s="60"/>
      <c r="AG9" s="48"/>
      <c r="AH9" s="48"/>
      <c r="AI9" s="60"/>
      <c r="AJ9" s="48"/>
      <c r="AK9" s="48"/>
      <c r="AL9" s="60"/>
      <c r="AM9" s="48"/>
      <c r="AN9" s="48"/>
      <c r="AO9" s="60"/>
    </row>
    <row r="10" spans="1:41">
      <c r="A10" s="3">
        <v>5</v>
      </c>
      <c r="B10" s="25" t="s">
        <v>161</v>
      </c>
      <c r="C10" s="3"/>
      <c r="D10" s="3"/>
      <c r="E10" s="26"/>
      <c r="F10" s="3"/>
      <c r="G10" s="3"/>
      <c r="H10" s="26"/>
      <c r="I10" s="48"/>
      <c r="J10" s="48"/>
      <c r="K10" s="60"/>
      <c r="L10" s="48"/>
      <c r="M10" s="48"/>
      <c r="N10" s="60"/>
      <c r="O10" s="48"/>
      <c r="P10" s="48"/>
      <c r="Q10" s="60"/>
      <c r="R10" s="48">
        <v>55</v>
      </c>
      <c r="S10" s="48">
        <v>229</v>
      </c>
      <c r="T10" s="60">
        <v>1</v>
      </c>
      <c r="U10" s="48"/>
      <c r="V10" s="48"/>
      <c r="W10" s="60"/>
      <c r="X10" s="48"/>
      <c r="Y10" s="48"/>
      <c r="Z10" s="60"/>
      <c r="AA10" s="48"/>
      <c r="AB10" s="48"/>
      <c r="AC10" s="60"/>
      <c r="AD10" s="48"/>
      <c r="AE10" s="48"/>
      <c r="AF10" s="60"/>
      <c r="AG10" s="48"/>
      <c r="AH10" s="48"/>
      <c r="AI10" s="60"/>
      <c r="AJ10" s="48"/>
      <c r="AK10" s="48"/>
      <c r="AL10" s="60"/>
      <c r="AM10" s="48"/>
      <c r="AN10" s="48"/>
      <c r="AO10" s="60"/>
    </row>
    <row r="11" spans="1:41">
      <c r="A11" s="3">
        <v>6</v>
      </c>
      <c r="B11" s="25" t="s">
        <v>162</v>
      </c>
      <c r="C11" s="3"/>
      <c r="D11" s="3"/>
      <c r="E11" s="26"/>
      <c r="F11" s="3"/>
      <c r="G11" s="3"/>
      <c r="H11" s="26"/>
      <c r="I11" s="48"/>
      <c r="J11" s="48"/>
      <c r="K11" s="60"/>
      <c r="L11" s="48"/>
      <c r="M11" s="48"/>
      <c r="N11" s="60"/>
      <c r="O11" s="48"/>
      <c r="P11" s="48"/>
      <c r="Q11" s="60"/>
      <c r="R11" s="48"/>
      <c r="S11" s="48"/>
      <c r="T11" s="60"/>
      <c r="U11" s="94">
        <v>47</v>
      </c>
      <c r="V11" s="95">
        <v>153</v>
      </c>
      <c r="W11" s="96">
        <v>3</v>
      </c>
      <c r="X11" s="48"/>
      <c r="Y11" s="48"/>
      <c r="Z11" s="60"/>
      <c r="AA11" s="48"/>
      <c r="AB11" s="48"/>
      <c r="AC11" s="60"/>
      <c r="AD11" s="48"/>
      <c r="AE11" s="48"/>
      <c r="AF11" s="60"/>
      <c r="AG11" s="48"/>
      <c r="AH11" s="48"/>
      <c r="AI11" s="60"/>
      <c r="AJ11" s="48"/>
      <c r="AK11" s="48"/>
      <c r="AL11" s="60"/>
      <c r="AM11" s="48"/>
      <c r="AN11" s="48"/>
      <c r="AO11" s="60"/>
    </row>
    <row r="12" spans="1:41">
      <c r="A12" s="3">
        <v>7</v>
      </c>
      <c r="B12" s="25" t="s">
        <v>163</v>
      </c>
      <c r="C12" s="3"/>
      <c r="D12" s="3"/>
      <c r="E12" s="26"/>
      <c r="F12" s="3"/>
      <c r="G12" s="3"/>
      <c r="H12" s="26"/>
      <c r="I12" s="48"/>
      <c r="J12" s="48"/>
      <c r="K12" s="60"/>
      <c r="L12" s="48"/>
      <c r="M12" s="48"/>
      <c r="N12" s="60"/>
      <c r="O12" s="48"/>
      <c r="P12" s="48"/>
      <c r="Q12" s="60"/>
      <c r="R12" s="48"/>
      <c r="S12" s="48"/>
      <c r="T12" s="60"/>
      <c r="U12" s="48"/>
      <c r="V12" s="48"/>
      <c r="W12" s="60"/>
      <c r="X12" s="51">
        <v>106</v>
      </c>
      <c r="Y12" s="51">
        <v>268</v>
      </c>
      <c r="Z12" s="51">
        <v>2</v>
      </c>
      <c r="AA12" s="48"/>
      <c r="AB12" s="48"/>
      <c r="AC12" s="60"/>
      <c r="AD12" s="48"/>
      <c r="AE12" s="48"/>
      <c r="AF12" s="60"/>
      <c r="AG12" s="48"/>
      <c r="AH12" s="48"/>
      <c r="AI12" s="60"/>
      <c r="AJ12" s="48"/>
      <c r="AK12" s="48"/>
      <c r="AL12" s="60"/>
      <c r="AM12" s="48"/>
      <c r="AN12" s="48"/>
      <c r="AO12" s="60"/>
    </row>
    <row r="13" spans="1:41">
      <c r="A13" s="3">
        <v>8</v>
      </c>
      <c r="B13" s="25" t="s">
        <v>164</v>
      </c>
      <c r="C13" s="3"/>
      <c r="D13" s="3"/>
      <c r="E13" s="26"/>
      <c r="F13" s="3"/>
      <c r="G13" s="3"/>
      <c r="H13" s="26"/>
      <c r="I13" s="48"/>
      <c r="J13" s="48"/>
      <c r="K13" s="60"/>
      <c r="L13" s="48"/>
      <c r="M13" s="48"/>
      <c r="N13" s="60"/>
      <c r="O13" s="48"/>
      <c r="P13" s="48"/>
      <c r="Q13" s="60"/>
      <c r="R13" s="48"/>
      <c r="S13" s="48"/>
      <c r="T13" s="60"/>
      <c r="U13" s="48"/>
      <c r="V13" s="48"/>
      <c r="W13" s="60"/>
      <c r="X13" s="48"/>
      <c r="Y13" s="48"/>
      <c r="Z13" s="60"/>
      <c r="AA13" s="48">
        <v>98</v>
      </c>
      <c r="AB13" s="48">
        <v>124</v>
      </c>
      <c r="AC13" s="60">
        <v>3</v>
      </c>
      <c r="AD13" s="48"/>
      <c r="AE13" s="48"/>
      <c r="AF13" s="60"/>
      <c r="AG13" s="48"/>
      <c r="AH13" s="48"/>
      <c r="AI13" s="60"/>
      <c r="AJ13" s="48"/>
      <c r="AK13" s="48"/>
      <c r="AL13" s="60"/>
      <c r="AM13" s="48"/>
      <c r="AN13" s="48"/>
      <c r="AO13" s="60"/>
    </row>
    <row r="14" spans="1:41">
      <c r="A14" s="3">
        <v>9</v>
      </c>
      <c r="B14" s="25" t="s">
        <v>165</v>
      </c>
      <c r="C14" s="3"/>
      <c r="D14" s="3"/>
      <c r="E14" s="26"/>
      <c r="F14" s="3"/>
      <c r="G14" s="3"/>
      <c r="H14" s="26"/>
      <c r="I14" s="48"/>
      <c r="J14" s="48"/>
      <c r="K14" s="60"/>
      <c r="L14" s="48"/>
      <c r="M14" s="48"/>
      <c r="N14" s="60"/>
      <c r="O14" s="48"/>
      <c r="P14" s="48"/>
      <c r="Q14" s="60"/>
      <c r="R14" s="48"/>
      <c r="S14" s="48"/>
      <c r="T14" s="60"/>
      <c r="U14" s="48"/>
      <c r="V14" s="48"/>
      <c r="W14" s="60"/>
      <c r="X14" s="48"/>
      <c r="Y14" s="48"/>
      <c r="Z14" s="60"/>
      <c r="AA14" s="48"/>
      <c r="AB14" s="48"/>
      <c r="AC14" s="60"/>
      <c r="AD14" s="48">
        <v>54</v>
      </c>
      <c r="AE14" s="48">
        <v>125</v>
      </c>
      <c r="AF14" s="60">
        <v>1</v>
      </c>
      <c r="AG14" s="48"/>
      <c r="AH14" s="48"/>
      <c r="AI14" s="60"/>
      <c r="AJ14" s="48"/>
      <c r="AK14" s="48"/>
      <c r="AL14" s="60"/>
      <c r="AM14" s="48"/>
      <c r="AN14" s="48"/>
      <c r="AO14" s="60"/>
    </row>
    <row r="15" spans="1:41">
      <c r="A15" s="3">
        <v>10</v>
      </c>
      <c r="B15" s="25" t="s">
        <v>166</v>
      </c>
      <c r="C15" s="3"/>
      <c r="D15" s="3"/>
      <c r="E15" s="26"/>
      <c r="F15" s="3"/>
      <c r="G15" s="3"/>
      <c r="H15" s="26"/>
      <c r="I15" s="48"/>
      <c r="J15" s="48"/>
      <c r="K15" s="60"/>
      <c r="L15" s="48"/>
      <c r="M15" s="48"/>
      <c r="N15" s="60"/>
      <c r="O15" s="48"/>
      <c r="P15" s="48"/>
      <c r="Q15" s="60"/>
      <c r="R15" s="48"/>
      <c r="S15" s="48"/>
      <c r="T15" s="60"/>
      <c r="U15" s="48"/>
      <c r="V15" s="48"/>
      <c r="W15" s="60"/>
      <c r="X15" s="48"/>
      <c r="Y15" s="48"/>
      <c r="Z15" s="60"/>
      <c r="AA15" s="48"/>
      <c r="AB15" s="48"/>
      <c r="AC15" s="60"/>
      <c r="AD15" s="48"/>
      <c r="AE15" s="48"/>
      <c r="AF15" s="60"/>
      <c r="AG15" s="48">
        <v>111</v>
      </c>
      <c r="AH15" s="48">
        <v>181</v>
      </c>
      <c r="AI15" s="60">
        <v>8</v>
      </c>
      <c r="AJ15" s="48"/>
      <c r="AK15" s="48"/>
      <c r="AL15" s="60"/>
      <c r="AM15" s="48"/>
      <c r="AN15" s="48"/>
      <c r="AO15" s="60"/>
    </row>
    <row r="16" spans="1:41">
      <c r="A16" s="3">
        <v>11</v>
      </c>
      <c r="B16" s="25" t="s">
        <v>167</v>
      </c>
      <c r="C16" s="3"/>
      <c r="D16" s="3"/>
      <c r="E16" s="26"/>
      <c r="F16" s="3"/>
      <c r="G16" s="3"/>
      <c r="H16" s="26"/>
      <c r="I16" s="48"/>
      <c r="J16" s="48"/>
      <c r="K16" s="60"/>
      <c r="L16" s="48"/>
      <c r="M16" s="48"/>
      <c r="N16" s="60"/>
      <c r="O16" s="48"/>
      <c r="P16" s="48"/>
      <c r="Q16" s="60"/>
      <c r="R16" s="48"/>
      <c r="S16" s="48"/>
      <c r="T16" s="60"/>
      <c r="U16" s="48"/>
      <c r="V16" s="48"/>
      <c r="W16" s="60"/>
      <c r="X16" s="48"/>
      <c r="Y16" s="48"/>
      <c r="Z16" s="60"/>
      <c r="AA16" s="48"/>
      <c r="AB16" s="48"/>
      <c r="AC16" s="60"/>
      <c r="AD16" s="48"/>
      <c r="AE16" s="48"/>
      <c r="AF16" s="60"/>
      <c r="AG16" s="48"/>
      <c r="AH16" s="48"/>
      <c r="AI16" s="60"/>
      <c r="AJ16" s="48"/>
      <c r="AK16" s="48"/>
      <c r="AL16" s="60"/>
      <c r="AM16" s="48"/>
      <c r="AN16" s="48"/>
      <c r="AO16" s="60"/>
    </row>
    <row r="17" spans="1:41">
      <c r="A17" s="3">
        <v>12</v>
      </c>
      <c r="B17" s="25" t="s">
        <v>168</v>
      </c>
      <c r="C17" s="3"/>
      <c r="D17" s="3"/>
      <c r="E17" s="26"/>
      <c r="F17" s="3"/>
      <c r="G17" s="3"/>
      <c r="H17" s="26"/>
      <c r="I17" s="48"/>
      <c r="J17" s="48"/>
      <c r="K17" s="60"/>
      <c r="L17" s="48"/>
      <c r="M17" s="48"/>
      <c r="N17" s="60"/>
      <c r="O17" s="48"/>
      <c r="P17" s="48"/>
      <c r="Q17" s="60"/>
      <c r="R17" s="48"/>
      <c r="S17" s="48"/>
      <c r="T17" s="60"/>
      <c r="U17" s="48"/>
      <c r="V17" s="48"/>
      <c r="W17" s="60"/>
      <c r="X17" s="48"/>
      <c r="Y17" s="48"/>
      <c r="Z17" s="60"/>
      <c r="AA17" s="48"/>
      <c r="AB17" s="48"/>
      <c r="AC17" s="60"/>
      <c r="AD17" s="48"/>
      <c r="AE17" s="48"/>
      <c r="AF17" s="60"/>
      <c r="AG17" s="48"/>
      <c r="AH17" s="48"/>
      <c r="AI17" s="60"/>
      <c r="AJ17" s="48"/>
      <c r="AK17" s="48"/>
      <c r="AL17" s="60"/>
      <c r="AM17" s="48"/>
      <c r="AN17" s="48"/>
      <c r="AO17" s="60"/>
    </row>
    <row r="18" spans="1:41">
      <c r="A18" s="134" t="s">
        <v>22</v>
      </c>
      <c r="B18" s="134"/>
      <c r="C18" s="4"/>
      <c r="D18" s="4"/>
      <c r="E18" s="27"/>
      <c r="F18" s="4"/>
      <c r="G18" s="4"/>
      <c r="H18" s="27"/>
      <c r="I18" s="4"/>
      <c r="J18" s="4"/>
      <c r="K18" s="27"/>
      <c r="L18" s="4"/>
      <c r="M18" s="4"/>
      <c r="N18" s="27"/>
      <c r="O18" s="4"/>
      <c r="P18" s="4"/>
      <c r="Q18" s="27"/>
      <c r="R18" s="4"/>
      <c r="S18" s="4"/>
      <c r="T18" s="27"/>
      <c r="U18" s="4"/>
      <c r="V18" s="4"/>
      <c r="W18" s="27"/>
      <c r="X18" s="4"/>
      <c r="Y18" s="4"/>
      <c r="Z18" s="27"/>
      <c r="AA18" s="4"/>
      <c r="AB18" s="4"/>
      <c r="AC18" s="27"/>
      <c r="AD18" s="4"/>
      <c r="AE18" s="4"/>
      <c r="AF18" s="27"/>
      <c r="AG18" s="4"/>
      <c r="AH18" s="4"/>
      <c r="AI18" s="27"/>
      <c r="AJ18" s="4"/>
      <c r="AK18" s="4"/>
      <c r="AL18" s="27"/>
      <c r="AM18" s="4"/>
      <c r="AN18" s="4"/>
      <c r="AO18" s="27"/>
    </row>
    <row r="19" spans="1:41">
      <c r="B19" s="2"/>
    </row>
    <row r="22" spans="1:41" ht="18.75" customHeight="1"/>
    <row r="23" spans="1:41" ht="21.75" customHeight="1"/>
  </sheetData>
  <mergeCells count="18">
    <mergeCell ref="O3:Q4"/>
    <mergeCell ref="AJ3:AL4"/>
    <mergeCell ref="AM3:AO4"/>
    <mergeCell ref="B1:AO1"/>
    <mergeCell ref="A18:B18"/>
    <mergeCell ref="A3:A5"/>
    <mergeCell ref="AM2:AO2"/>
    <mergeCell ref="R3:T4"/>
    <mergeCell ref="U3:W4"/>
    <mergeCell ref="X3:Z4"/>
    <mergeCell ref="AA3:AC4"/>
    <mergeCell ref="AD3:AF4"/>
    <mergeCell ref="AG3:AI4"/>
    <mergeCell ref="B3:B5"/>
    <mergeCell ref="C3:E4"/>
    <mergeCell ref="F3:H4"/>
    <mergeCell ref="I3:K4"/>
    <mergeCell ref="L3:N4"/>
  </mergeCells>
  <pageMargins left="0.7" right="0.7" top="0.75" bottom="0.75" header="0.3" footer="0.3"/>
  <pageSetup paperSize="9" scale="1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25"/>
  <sheetViews>
    <sheetView topLeftCell="A4" workbookViewId="0">
      <selection activeCell="T16" sqref="T16"/>
    </sheetView>
  </sheetViews>
  <sheetFormatPr defaultRowHeight="15.75"/>
  <cols>
    <col min="1" max="1" width="10.42578125" style="1" customWidth="1"/>
    <col min="2" max="2" width="8.85546875" style="1" customWidth="1"/>
    <col min="3" max="3" width="7" style="1" customWidth="1"/>
    <col min="4" max="4" width="7.28515625" style="1" customWidth="1"/>
    <col min="5" max="5" width="7.7109375" style="1" customWidth="1"/>
    <col min="6" max="6" width="5.7109375" style="1" customWidth="1"/>
    <col min="7" max="7" width="8.5703125" style="1" customWidth="1"/>
    <col min="8" max="8" width="7.42578125" style="1" customWidth="1"/>
    <col min="9" max="9" width="9.140625" style="1"/>
    <col min="10" max="10" width="6.42578125" style="1" customWidth="1"/>
    <col min="11" max="11" width="8.42578125" style="1" customWidth="1"/>
    <col min="12" max="12" width="7.5703125" style="1" customWidth="1"/>
    <col min="13" max="13" width="9.140625" style="1"/>
    <col min="14" max="14" width="8.7109375" style="1" customWidth="1"/>
    <col min="15" max="15" width="7.7109375" style="1" customWidth="1"/>
    <col min="16" max="16" width="6.28515625" style="1" customWidth="1"/>
    <col min="17" max="17" width="8.5703125" style="1" customWidth="1"/>
    <col min="18" max="18" width="8.7109375" style="1" customWidth="1"/>
    <col min="19" max="19" width="8.85546875" style="1" customWidth="1"/>
    <col min="20" max="20" width="8.140625" style="1" customWidth="1"/>
    <col min="21" max="16384" width="9.140625" style="1"/>
  </cols>
  <sheetData>
    <row r="1" spans="1:20" ht="18.75">
      <c r="A1" s="121" t="s">
        <v>199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</row>
    <row r="2" spans="1:20" ht="19.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38" t="s">
        <v>149</v>
      </c>
      <c r="R2" s="138"/>
      <c r="S2" s="138"/>
      <c r="T2" s="138"/>
    </row>
    <row r="3" spans="1:20" ht="15.75" customHeight="1">
      <c r="A3" s="118" t="s">
        <v>0</v>
      </c>
      <c r="B3" s="118" t="s">
        <v>21</v>
      </c>
      <c r="C3" s="118" t="s">
        <v>56</v>
      </c>
      <c r="D3" s="118"/>
      <c r="E3" s="118" t="s">
        <v>59</v>
      </c>
      <c r="F3" s="118"/>
      <c r="G3" s="118" t="s">
        <v>16</v>
      </c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</row>
    <row r="4" spans="1:20" ht="49.5" customHeight="1">
      <c r="A4" s="118"/>
      <c r="B4" s="118"/>
      <c r="C4" s="118"/>
      <c r="D4" s="118"/>
      <c r="E4" s="118"/>
      <c r="F4" s="118"/>
      <c r="G4" s="133" t="s">
        <v>36</v>
      </c>
      <c r="H4" s="133"/>
      <c r="I4" s="133" t="s">
        <v>37</v>
      </c>
      <c r="J4" s="133"/>
      <c r="K4" s="133" t="s">
        <v>38</v>
      </c>
      <c r="L4" s="133"/>
      <c r="M4" s="133" t="s">
        <v>39</v>
      </c>
      <c r="N4" s="133"/>
      <c r="O4" s="133" t="s">
        <v>60</v>
      </c>
      <c r="P4" s="133"/>
      <c r="Q4" s="118" t="s">
        <v>61</v>
      </c>
      <c r="R4" s="118"/>
      <c r="S4" s="118" t="s">
        <v>61</v>
      </c>
      <c r="T4" s="118"/>
    </row>
    <row r="5" spans="1:20" ht="56.25" customHeight="1">
      <c r="A5" s="118"/>
      <c r="B5" s="118"/>
      <c r="C5" s="22" t="s">
        <v>57</v>
      </c>
      <c r="D5" s="22" t="s">
        <v>58</v>
      </c>
      <c r="E5" s="22" t="s">
        <v>57</v>
      </c>
      <c r="F5" s="22" t="s">
        <v>58</v>
      </c>
      <c r="G5" s="22" t="s">
        <v>57</v>
      </c>
      <c r="H5" s="22" t="s">
        <v>58</v>
      </c>
      <c r="I5" s="22" t="s">
        <v>57</v>
      </c>
      <c r="J5" s="22" t="s">
        <v>58</v>
      </c>
      <c r="K5" s="22" t="s">
        <v>57</v>
      </c>
      <c r="L5" s="22" t="s">
        <v>58</v>
      </c>
      <c r="M5" s="22" t="s">
        <v>57</v>
      </c>
      <c r="N5" s="22" t="s">
        <v>58</v>
      </c>
      <c r="O5" s="22" t="s">
        <v>57</v>
      </c>
      <c r="P5" s="22" t="s">
        <v>58</v>
      </c>
      <c r="Q5" s="22" t="s">
        <v>57</v>
      </c>
      <c r="R5" s="22" t="s">
        <v>58</v>
      </c>
      <c r="S5" s="22" t="s">
        <v>57</v>
      </c>
      <c r="T5" s="22" t="s">
        <v>58</v>
      </c>
    </row>
    <row r="6" spans="1:20" ht="18.75">
      <c r="A6" s="3">
        <v>1</v>
      </c>
      <c r="B6" s="25" t="s">
        <v>157</v>
      </c>
      <c r="C6" s="61">
        <v>90</v>
      </c>
      <c r="D6" s="61">
        <v>1</v>
      </c>
      <c r="E6" s="61">
        <v>0</v>
      </c>
      <c r="F6" s="61">
        <v>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>
        <v>0</v>
      </c>
    </row>
    <row r="7" spans="1:20" ht="18.75">
      <c r="A7" s="3">
        <v>2</v>
      </c>
      <c r="B7" s="25" t="s">
        <v>158</v>
      </c>
      <c r="C7" s="61">
        <v>106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</row>
    <row r="8" spans="1:20" ht="18.75">
      <c r="A8" s="3">
        <v>3</v>
      </c>
      <c r="B8" s="25" t="s">
        <v>159</v>
      </c>
      <c r="C8" s="61">
        <v>100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</row>
    <row r="9" spans="1:20" ht="18.75">
      <c r="A9" s="3"/>
      <c r="B9" s="25" t="s">
        <v>206</v>
      </c>
      <c r="C9" s="61">
        <f t="shared" ref="C9:T9" si="0">SUM(C6:C8)</f>
        <v>296</v>
      </c>
      <c r="D9" s="61">
        <f t="shared" si="0"/>
        <v>1</v>
      </c>
      <c r="E9" s="61">
        <f t="shared" si="0"/>
        <v>0</v>
      </c>
      <c r="F9" s="61">
        <f t="shared" si="0"/>
        <v>0</v>
      </c>
      <c r="G9" s="61">
        <f t="shared" si="0"/>
        <v>0</v>
      </c>
      <c r="H9" s="61">
        <f t="shared" si="0"/>
        <v>0</v>
      </c>
      <c r="I9" s="61">
        <f t="shared" si="0"/>
        <v>0</v>
      </c>
      <c r="J9" s="61">
        <f t="shared" si="0"/>
        <v>0</v>
      </c>
      <c r="K9" s="61">
        <f t="shared" si="0"/>
        <v>0</v>
      </c>
      <c r="L9" s="61">
        <f t="shared" si="0"/>
        <v>0</v>
      </c>
      <c r="M9" s="61">
        <f t="shared" si="0"/>
        <v>0</v>
      </c>
      <c r="N9" s="61">
        <f t="shared" si="0"/>
        <v>0</v>
      </c>
      <c r="O9" s="61">
        <f t="shared" si="0"/>
        <v>0</v>
      </c>
      <c r="P9" s="61">
        <f t="shared" si="0"/>
        <v>0</v>
      </c>
      <c r="Q9" s="61">
        <f t="shared" si="0"/>
        <v>0</v>
      </c>
      <c r="R9" s="61">
        <f t="shared" si="0"/>
        <v>0</v>
      </c>
      <c r="S9" s="61">
        <f t="shared" si="0"/>
        <v>0</v>
      </c>
      <c r="T9" s="61">
        <f t="shared" si="0"/>
        <v>0</v>
      </c>
    </row>
    <row r="10" spans="1:20" ht="18.75">
      <c r="A10" s="3">
        <v>4</v>
      </c>
      <c r="B10" s="25" t="s">
        <v>160</v>
      </c>
      <c r="C10" s="61">
        <v>183</v>
      </c>
      <c r="D10" s="61">
        <v>0</v>
      </c>
      <c r="E10" s="61">
        <f t="shared" ref="E10:T10" si="1">SUM(E9)</f>
        <v>0</v>
      </c>
      <c r="F10" s="61">
        <f t="shared" si="1"/>
        <v>0</v>
      </c>
      <c r="G10" s="61">
        <f t="shared" si="1"/>
        <v>0</v>
      </c>
      <c r="H10" s="61">
        <f t="shared" si="1"/>
        <v>0</v>
      </c>
      <c r="I10" s="61">
        <f t="shared" si="1"/>
        <v>0</v>
      </c>
      <c r="J10" s="61">
        <f t="shared" si="1"/>
        <v>0</v>
      </c>
      <c r="K10" s="61">
        <f t="shared" si="1"/>
        <v>0</v>
      </c>
      <c r="L10" s="61">
        <f t="shared" si="1"/>
        <v>0</v>
      </c>
      <c r="M10" s="61">
        <f t="shared" si="1"/>
        <v>0</v>
      </c>
      <c r="N10" s="61">
        <f t="shared" si="1"/>
        <v>0</v>
      </c>
      <c r="O10" s="61">
        <f t="shared" si="1"/>
        <v>0</v>
      </c>
      <c r="P10" s="61">
        <f t="shared" si="1"/>
        <v>0</v>
      </c>
      <c r="Q10" s="61">
        <f t="shared" si="1"/>
        <v>0</v>
      </c>
      <c r="R10" s="61">
        <f t="shared" si="1"/>
        <v>0</v>
      </c>
      <c r="S10" s="61">
        <f t="shared" si="1"/>
        <v>0</v>
      </c>
      <c r="T10" s="61">
        <f t="shared" si="1"/>
        <v>0</v>
      </c>
    </row>
    <row r="11" spans="1:20" ht="18.75">
      <c r="A11" s="3">
        <v>5</v>
      </c>
      <c r="B11" s="25" t="s">
        <v>161</v>
      </c>
      <c r="C11" s="61">
        <v>285</v>
      </c>
      <c r="D11" s="61">
        <v>1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</row>
    <row r="12" spans="1:20" ht="18.75">
      <c r="A12" s="3">
        <v>6</v>
      </c>
      <c r="B12" s="25" t="s">
        <v>162</v>
      </c>
      <c r="C12" s="88">
        <v>200</v>
      </c>
      <c r="D12" s="93">
        <v>3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</row>
    <row r="13" spans="1:20" ht="18.75">
      <c r="A13" s="3">
        <v>7</v>
      </c>
      <c r="B13" s="25" t="s">
        <v>163</v>
      </c>
      <c r="C13" s="61">
        <v>374</v>
      </c>
      <c r="D13" s="61">
        <v>2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  <c r="P13" s="61">
        <v>0</v>
      </c>
      <c r="Q13" s="61">
        <v>0</v>
      </c>
      <c r="R13" s="61">
        <v>0</v>
      </c>
      <c r="S13" s="61">
        <v>0</v>
      </c>
      <c r="T13" s="61">
        <v>0</v>
      </c>
    </row>
    <row r="14" spans="1:20" ht="18.75">
      <c r="A14" s="3">
        <v>8</v>
      </c>
      <c r="B14" s="25" t="s">
        <v>164</v>
      </c>
      <c r="C14" s="61">
        <v>222</v>
      </c>
      <c r="D14" s="61">
        <v>3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  <c r="R14" s="61">
        <v>0</v>
      </c>
      <c r="S14" s="61">
        <v>0</v>
      </c>
      <c r="T14" s="61">
        <v>0</v>
      </c>
    </row>
    <row r="15" spans="1:20" ht="18.75">
      <c r="A15" s="3">
        <v>9</v>
      </c>
      <c r="B15" s="25" t="s">
        <v>165</v>
      </c>
      <c r="C15" s="61">
        <v>179</v>
      </c>
      <c r="D15" s="61">
        <v>1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</row>
    <row r="16" spans="1:20" ht="18.75">
      <c r="A16" s="3">
        <v>10</v>
      </c>
      <c r="B16" s="25" t="s">
        <v>166</v>
      </c>
      <c r="C16" s="61">
        <v>292</v>
      </c>
      <c r="D16" s="61">
        <v>8</v>
      </c>
      <c r="E16" s="61">
        <v>0</v>
      </c>
      <c r="F16" s="61">
        <v>0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1">
        <v>0</v>
      </c>
      <c r="O16" s="61">
        <v>0</v>
      </c>
      <c r="P16" s="61">
        <v>0</v>
      </c>
      <c r="Q16" s="61">
        <v>0</v>
      </c>
      <c r="R16" s="61">
        <v>0</v>
      </c>
      <c r="S16" s="61">
        <v>0</v>
      </c>
      <c r="T16" s="61">
        <v>0</v>
      </c>
    </row>
    <row r="17" spans="1:20" ht="18.75">
      <c r="A17" s="3">
        <v>11</v>
      </c>
      <c r="B17" s="25" t="s">
        <v>167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</row>
    <row r="18" spans="1:20" ht="18.75">
      <c r="A18" s="3">
        <v>12</v>
      </c>
      <c r="B18" s="25" t="s">
        <v>168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</row>
    <row r="19" spans="1:20" ht="18.75">
      <c r="A19" s="28" t="s">
        <v>22</v>
      </c>
      <c r="B19" s="5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</row>
    <row r="23" spans="1:20">
      <c r="D23" s="29"/>
    </row>
    <row r="25" spans="1:20" ht="16.5" customHeight="1"/>
  </sheetData>
  <mergeCells count="14">
    <mergeCell ref="A1:T1"/>
    <mergeCell ref="Q2:T2"/>
    <mergeCell ref="G3:T3"/>
    <mergeCell ref="C3:D4"/>
    <mergeCell ref="E3:F4"/>
    <mergeCell ref="B3:B5"/>
    <mergeCell ref="A3:A5"/>
    <mergeCell ref="G4:H4"/>
    <mergeCell ref="O4:P4"/>
    <mergeCell ref="Q4:R4"/>
    <mergeCell ref="S4:T4"/>
    <mergeCell ref="K4:L4"/>
    <mergeCell ref="M4:N4"/>
    <mergeCell ref="I4:J4"/>
  </mergeCells>
  <pageMargins left="0.7" right="0.7" top="0.75" bottom="0.75" header="0.3" footer="0.3"/>
  <pageSetup paperSize="9" scale="2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D25"/>
  <sheetViews>
    <sheetView tabSelected="1" zoomScale="69" zoomScaleNormal="69" workbookViewId="0">
      <selection activeCell="S16" sqref="S16"/>
    </sheetView>
  </sheetViews>
  <sheetFormatPr defaultRowHeight="15.75"/>
  <cols>
    <col min="1" max="1" width="4.28515625" style="1" customWidth="1"/>
    <col min="2" max="2" width="10.7109375" style="1" customWidth="1"/>
    <col min="3" max="3" width="6.7109375" style="1" customWidth="1"/>
    <col min="4" max="4" width="4.42578125" style="1" customWidth="1"/>
    <col min="5" max="5" width="5" style="1" customWidth="1"/>
    <col min="6" max="9" width="7.140625" style="1" customWidth="1"/>
    <col min="10" max="10" width="4.42578125" style="1" customWidth="1"/>
    <col min="11" max="14" width="7.140625" style="1" customWidth="1"/>
    <col min="15" max="15" width="6" style="1" customWidth="1"/>
    <col min="16" max="16" width="7.140625" style="1" customWidth="1"/>
    <col min="17" max="17" width="5.7109375" style="1" customWidth="1"/>
    <col min="18" max="18" width="4.42578125" style="1" customWidth="1"/>
    <col min="19" max="19" width="5.5703125" style="1" customWidth="1"/>
    <col min="20" max="20" width="5.140625" style="1" customWidth="1"/>
    <col min="21" max="22" width="7.140625" style="1" customWidth="1"/>
    <col min="23" max="23" width="6" style="1" customWidth="1"/>
    <col min="24" max="26" width="7.140625" style="1" customWidth="1"/>
    <col min="27" max="27" width="5.140625" style="1" customWidth="1"/>
    <col min="28" max="28" width="5.7109375" style="1" customWidth="1"/>
    <col min="29" max="29" width="7.140625" style="1" customWidth="1"/>
    <col min="30" max="16384" width="9.140625" style="1"/>
  </cols>
  <sheetData>
    <row r="1" spans="1:30" ht="24.75" customHeight="1">
      <c r="A1" s="121" t="s">
        <v>62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</row>
    <row r="2" spans="1:30" ht="19.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43" t="s">
        <v>148</v>
      </c>
      <c r="AA2" s="143"/>
      <c r="AB2" s="143"/>
      <c r="AC2" s="143"/>
    </row>
    <row r="3" spans="1:30" ht="18.75">
      <c r="A3" s="118" t="s">
        <v>0</v>
      </c>
      <c r="B3" s="142" t="s">
        <v>21</v>
      </c>
      <c r="C3" s="142" t="s">
        <v>63</v>
      </c>
      <c r="D3" s="118" t="s">
        <v>67</v>
      </c>
      <c r="E3" s="118"/>
      <c r="F3" s="118"/>
      <c r="G3" s="118"/>
      <c r="H3" s="118"/>
      <c r="I3" s="118"/>
      <c r="J3" s="118"/>
      <c r="K3" s="118" t="s">
        <v>29</v>
      </c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42" t="s">
        <v>156</v>
      </c>
    </row>
    <row r="4" spans="1:30" ht="18.75">
      <c r="A4" s="118"/>
      <c r="B4" s="142"/>
      <c r="C4" s="142"/>
      <c r="D4" s="142" t="s">
        <v>64</v>
      </c>
      <c r="E4" s="142" t="s">
        <v>65</v>
      </c>
      <c r="F4" s="118" t="s">
        <v>66</v>
      </c>
      <c r="G4" s="118"/>
      <c r="H4" s="118"/>
      <c r="I4" s="118"/>
      <c r="J4" s="118"/>
      <c r="K4" s="142" t="s">
        <v>72</v>
      </c>
      <c r="L4" s="142" t="s">
        <v>73</v>
      </c>
      <c r="M4" s="142" t="s">
        <v>74</v>
      </c>
      <c r="N4" s="142" t="s">
        <v>75</v>
      </c>
      <c r="O4" s="142" t="s">
        <v>76</v>
      </c>
      <c r="P4" s="142" t="s">
        <v>77</v>
      </c>
      <c r="Q4" s="142" t="s">
        <v>78</v>
      </c>
      <c r="R4" s="142" t="s">
        <v>79</v>
      </c>
      <c r="S4" s="142" t="s">
        <v>194</v>
      </c>
      <c r="T4" s="142" t="s">
        <v>20</v>
      </c>
      <c r="U4" s="142" t="s">
        <v>80</v>
      </c>
      <c r="V4" s="142" t="s">
        <v>81</v>
      </c>
      <c r="W4" s="142" t="s">
        <v>82</v>
      </c>
      <c r="X4" s="142" t="s">
        <v>83</v>
      </c>
      <c r="Y4" s="142" t="s">
        <v>84</v>
      </c>
      <c r="Z4" s="142" t="s">
        <v>85</v>
      </c>
      <c r="AA4" s="142" t="s">
        <v>52</v>
      </c>
      <c r="AB4" s="142" t="s">
        <v>155</v>
      </c>
      <c r="AC4" s="142"/>
    </row>
    <row r="5" spans="1:30" ht="119.25" customHeight="1">
      <c r="A5" s="118"/>
      <c r="B5" s="142"/>
      <c r="C5" s="142"/>
      <c r="D5" s="142"/>
      <c r="E5" s="142"/>
      <c r="F5" s="17" t="s">
        <v>68</v>
      </c>
      <c r="G5" s="17" t="s">
        <v>69</v>
      </c>
      <c r="H5" s="17" t="s">
        <v>70</v>
      </c>
      <c r="I5" s="17" t="s">
        <v>17</v>
      </c>
      <c r="J5" s="17" t="s">
        <v>71</v>
      </c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</row>
    <row r="6" spans="1:30" ht="18.75">
      <c r="A6" s="48">
        <v>1</v>
      </c>
      <c r="B6" s="25" t="s">
        <v>157</v>
      </c>
      <c r="C6" s="61">
        <v>85</v>
      </c>
      <c r="D6" s="61">
        <v>1</v>
      </c>
      <c r="E6" s="61">
        <v>1</v>
      </c>
      <c r="F6" s="61">
        <v>1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2</v>
      </c>
      <c r="M6" s="61">
        <v>0</v>
      </c>
      <c r="N6" s="61">
        <v>2</v>
      </c>
      <c r="O6" s="61">
        <v>0</v>
      </c>
      <c r="P6" s="61">
        <v>0</v>
      </c>
      <c r="Q6" s="61">
        <v>0</v>
      </c>
      <c r="R6" s="61">
        <v>0</v>
      </c>
      <c r="S6" s="61">
        <v>12</v>
      </c>
      <c r="T6" s="61">
        <v>0</v>
      </c>
      <c r="U6" s="61">
        <v>0</v>
      </c>
      <c r="V6" s="61">
        <v>0</v>
      </c>
      <c r="W6" s="61">
        <v>0</v>
      </c>
      <c r="X6" s="61">
        <v>0</v>
      </c>
      <c r="Y6" s="61">
        <v>13</v>
      </c>
      <c r="Z6" s="61">
        <v>0</v>
      </c>
      <c r="AA6" s="61">
        <v>0</v>
      </c>
      <c r="AB6" s="61">
        <v>0</v>
      </c>
      <c r="AC6" s="61">
        <v>56</v>
      </c>
    </row>
    <row r="7" spans="1:30" ht="18.75">
      <c r="A7" s="48">
        <v>2</v>
      </c>
      <c r="B7" s="25" t="s">
        <v>158</v>
      </c>
      <c r="C7" s="61">
        <v>103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5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19</v>
      </c>
      <c r="Z7" s="61">
        <v>0</v>
      </c>
      <c r="AA7" s="61">
        <v>0</v>
      </c>
      <c r="AB7" s="61">
        <v>0</v>
      </c>
      <c r="AC7" s="61">
        <v>79</v>
      </c>
    </row>
    <row r="8" spans="1:30" ht="18.75">
      <c r="A8" s="48">
        <v>3</v>
      </c>
      <c r="B8" s="25" t="s">
        <v>159</v>
      </c>
      <c r="C8" s="61">
        <v>100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2</v>
      </c>
      <c r="N8" s="61">
        <v>0</v>
      </c>
      <c r="O8" s="61">
        <v>8</v>
      </c>
      <c r="P8" s="61">
        <v>0</v>
      </c>
      <c r="Q8" s="61">
        <v>0</v>
      </c>
      <c r="R8" s="61">
        <v>0</v>
      </c>
      <c r="S8" s="61">
        <v>10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14</v>
      </c>
      <c r="Z8" s="61">
        <v>0</v>
      </c>
      <c r="AA8" s="61">
        <v>0</v>
      </c>
      <c r="AB8" s="61">
        <v>0</v>
      </c>
      <c r="AC8" s="61">
        <v>66</v>
      </c>
    </row>
    <row r="9" spans="1:30" ht="18.75">
      <c r="A9" s="48"/>
      <c r="B9" s="25" t="s">
        <v>206</v>
      </c>
      <c r="C9" s="61">
        <f t="shared" ref="C9:AC9" si="0">SUM(C6:C8)</f>
        <v>288</v>
      </c>
      <c r="D9" s="61">
        <f t="shared" si="0"/>
        <v>1</v>
      </c>
      <c r="E9" s="61">
        <f t="shared" si="0"/>
        <v>1</v>
      </c>
      <c r="F9" s="61">
        <f t="shared" si="0"/>
        <v>1</v>
      </c>
      <c r="G9" s="61">
        <f t="shared" si="0"/>
        <v>0</v>
      </c>
      <c r="H9" s="61">
        <f t="shared" si="0"/>
        <v>0</v>
      </c>
      <c r="I9" s="61">
        <f t="shared" si="0"/>
        <v>0</v>
      </c>
      <c r="J9" s="61">
        <f t="shared" si="0"/>
        <v>0</v>
      </c>
      <c r="K9" s="61">
        <f t="shared" si="0"/>
        <v>0</v>
      </c>
      <c r="L9" s="61">
        <f t="shared" si="0"/>
        <v>2</v>
      </c>
      <c r="M9" s="61">
        <f t="shared" si="0"/>
        <v>2</v>
      </c>
      <c r="N9" s="61">
        <f t="shared" si="0"/>
        <v>2</v>
      </c>
      <c r="O9" s="61">
        <f t="shared" si="0"/>
        <v>8</v>
      </c>
      <c r="P9" s="61">
        <f t="shared" si="0"/>
        <v>0</v>
      </c>
      <c r="Q9" s="61">
        <f t="shared" si="0"/>
        <v>0</v>
      </c>
      <c r="R9" s="61">
        <f t="shared" si="0"/>
        <v>0</v>
      </c>
      <c r="S9" s="61">
        <f t="shared" si="0"/>
        <v>27</v>
      </c>
      <c r="T9" s="61">
        <f t="shared" si="0"/>
        <v>0</v>
      </c>
      <c r="U9" s="61">
        <f t="shared" si="0"/>
        <v>0</v>
      </c>
      <c r="V9" s="61">
        <f t="shared" si="0"/>
        <v>0</v>
      </c>
      <c r="W9" s="61">
        <f t="shared" si="0"/>
        <v>0</v>
      </c>
      <c r="X9" s="61">
        <f t="shared" si="0"/>
        <v>0</v>
      </c>
      <c r="Y9" s="61">
        <f t="shared" si="0"/>
        <v>46</v>
      </c>
      <c r="Z9" s="61">
        <f t="shared" si="0"/>
        <v>0</v>
      </c>
      <c r="AA9" s="61">
        <f t="shared" si="0"/>
        <v>0</v>
      </c>
      <c r="AB9" s="61">
        <f t="shared" si="0"/>
        <v>0</v>
      </c>
      <c r="AC9" s="61">
        <f t="shared" si="0"/>
        <v>201</v>
      </c>
    </row>
    <row r="10" spans="1:30" ht="18.75">
      <c r="A10" s="48">
        <v>4</v>
      </c>
      <c r="B10" s="25" t="s">
        <v>160</v>
      </c>
      <c r="C10" s="61">
        <v>183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2</v>
      </c>
      <c r="N10" s="61">
        <v>0</v>
      </c>
      <c r="O10" s="61">
        <v>12</v>
      </c>
      <c r="P10" s="61">
        <v>0</v>
      </c>
      <c r="Q10" s="61">
        <v>0</v>
      </c>
      <c r="R10" s="61">
        <v>0</v>
      </c>
      <c r="S10" s="61">
        <v>20</v>
      </c>
      <c r="T10" s="61">
        <v>0</v>
      </c>
      <c r="U10" s="61">
        <v>0</v>
      </c>
      <c r="V10" s="61">
        <v>0</v>
      </c>
      <c r="W10" s="61">
        <v>0</v>
      </c>
      <c r="X10" s="61">
        <v>0</v>
      </c>
      <c r="Y10" s="61">
        <v>25</v>
      </c>
      <c r="Z10" s="61">
        <v>0</v>
      </c>
      <c r="AA10" s="61">
        <v>0</v>
      </c>
      <c r="AB10" s="61">
        <v>0</v>
      </c>
      <c r="AC10" s="61">
        <v>124</v>
      </c>
    </row>
    <row r="11" spans="1:30" ht="18.75">
      <c r="A11" s="48">
        <v>5</v>
      </c>
      <c r="B11" s="25" t="s">
        <v>161</v>
      </c>
      <c r="C11" s="61">
        <v>285</v>
      </c>
      <c r="D11" s="61">
        <v>1</v>
      </c>
      <c r="E11" s="61">
        <v>1</v>
      </c>
      <c r="F11" s="84">
        <v>1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8</v>
      </c>
      <c r="N11" s="61">
        <v>0</v>
      </c>
      <c r="O11" s="61">
        <v>14</v>
      </c>
      <c r="P11" s="61">
        <v>0</v>
      </c>
      <c r="Q11" s="61">
        <v>0</v>
      </c>
      <c r="R11" s="61">
        <v>0</v>
      </c>
      <c r="S11" s="61">
        <v>30</v>
      </c>
      <c r="T11" s="61">
        <v>0</v>
      </c>
      <c r="U11" s="61">
        <v>0</v>
      </c>
      <c r="V11" s="61">
        <v>0</v>
      </c>
      <c r="W11" s="61">
        <v>0</v>
      </c>
      <c r="X11" s="61">
        <v>0</v>
      </c>
      <c r="Y11" s="61">
        <v>3</v>
      </c>
      <c r="Z11" s="61">
        <v>0</v>
      </c>
      <c r="AA11" s="61">
        <v>0</v>
      </c>
      <c r="AB11" s="61">
        <v>0</v>
      </c>
      <c r="AC11" s="61">
        <v>212</v>
      </c>
    </row>
    <row r="12" spans="1:30">
      <c r="A12" s="48">
        <v>6</v>
      </c>
      <c r="B12" s="25" t="s">
        <v>162</v>
      </c>
      <c r="C12" s="97">
        <v>203</v>
      </c>
      <c r="D12" s="88">
        <v>3</v>
      </c>
      <c r="E12" s="3">
        <v>3</v>
      </c>
      <c r="F12" s="3">
        <v>3</v>
      </c>
      <c r="G12" s="3">
        <v>0</v>
      </c>
      <c r="H12" s="3">
        <v>0</v>
      </c>
      <c r="I12" s="3">
        <v>0</v>
      </c>
      <c r="J12" s="93">
        <v>0</v>
      </c>
      <c r="K12" s="98">
        <v>0</v>
      </c>
      <c r="L12" s="3">
        <v>0</v>
      </c>
      <c r="M12" s="3">
        <v>5</v>
      </c>
      <c r="N12" s="3">
        <v>0</v>
      </c>
      <c r="O12" s="3">
        <v>14</v>
      </c>
      <c r="P12" s="3">
        <v>0</v>
      </c>
      <c r="Q12" s="3">
        <v>0</v>
      </c>
      <c r="R12" s="3">
        <v>0</v>
      </c>
      <c r="S12" s="3">
        <v>12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16</v>
      </c>
      <c r="Z12" s="3">
        <v>0</v>
      </c>
      <c r="AA12" s="3">
        <v>0</v>
      </c>
      <c r="AB12" s="3">
        <v>0</v>
      </c>
      <c r="AC12" s="93">
        <v>153</v>
      </c>
      <c r="AD12" s="87"/>
    </row>
    <row r="13" spans="1:30" ht="18.75">
      <c r="A13" s="48">
        <v>7</v>
      </c>
      <c r="B13" s="25" t="s">
        <v>163</v>
      </c>
      <c r="C13" s="61">
        <v>376</v>
      </c>
      <c r="D13" s="61">
        <v>2</v>
      </c>
      <c r="E13" s="61">
        <v>2</v>
      </c>
      <c r="F13" s="61">
        <v>2</v>
      </c>
      <c r="G13" s="61"/>
      <c r="H13" s="61"/>
      <c r="I13" s="61"/>
      <c r="J13" s="61"/>
      <c r="K13" s="61"/>
      <c r="L13" s="61"/>
      <c r="M13" s="61">
        <v>4</v>
      </c>
      <c r="N13" s="61"/>
      <c r="O13" s="61">
        <v>24</v>
      </c>
      <c r="P13" s="61"/>
      <c r="Q13" s="61"/>
      <c r="R13" s="61">
        <v>6</v>
      </c>
      <c r="S13" s="61">
        <v>56</v>
      </c>
      <c r="T13" s="61"/>
      <c r="U13" s="61"/>
      <c r="V13" s="61"/>
      <c r="W13" s="61"/>
      <c r="X13" s="61"/>
      <c r="Y13" s="61">
        <v>16</v>
      </c>
      <c r="Z13" s="61"/>
      <c r="AA13" s="61"/>
      <c r="AB13" s="61"/>
      <c r="AC13" s="61">
        <v>268</v>
      </c>
    </row>
    <row r="14" spans="1:30" ht="18.75">
      <c r="A14" s="48">
        <v>8</v>
      </c>
      <c r="B14" s="25" t="s">
        <v>164</v>
      </c>
      <c r="C14" s="61">
        <v>225</v>
      </c>
      <c r="D14" s="61">
        <v>3</v>
      </c>
      <c r="E14" s="61">
        <v>3</v>
      </c>
      <c r="F14" s="61">
        <v>3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6</v>
      </c>
      <c r="N14" s="61">
        <v>0</v>
      </c>
      <c r="O14" s="61">
        <v>35</v>
      </c>
      <c r="P14" s="61">
        <v>0</v>
      </c>
      <c r="Q14" s="61">
        <v>0</v>
      </c>
      <c r="R14" s="61">
        <v>4</v>
      </c>
      <c r="S14" s="61">
        <v>49</v>
      </c>
      <c r="T14" s="61">
        <v>0</v>
      </c>
      <c r="U14" s="61">
        <v>0</v>
      </c>
      <c r="V14" s="61">
        <v>0</v>
      </c>
      <c r="W14" s="61">
        <v>0</v>
      </c>
      <c r="X14" s="61">
        <v>0</v>
      </c>
      <c r="Y14" s="61">
        <v>4</v>
      </c>
      <c r="Z14" s="61">
        <v>0</v>
      </c>
      <c r="AA14" s="61">
        <v>0</v>
      </c>
      <c r="AB14" s="61">
        <v>0</v>
      </c>
      <c r="AC14" s="61">
        <v>124</v>
      </c>
    </row>
    <row r="15" spans="1:30" ht="20.25" customHeight="1">
      <c r="A15" s="48">
        <v>9</v>
      </c>
      <c r="B15" s="25" t="s">
        <v>165</v>
      </c>
      <c r="C15" s="61">
        <v>180</v>
      </c>
      <c r="D15" s="61">
        <v>1</v>
      </c>
      <c r="E15" s="61">
        <v>1</v>
      </c>
      <c r="F15" s="61">
        <v>1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5</v>
      </c>
      <c r="N15" s="61">
        <v>2</v>
      </c>
      <c r="O15" s="61">
        <v>19</v>
      </c>
      <c r="P15" s="61">
        <v>0</v>
      </c>
      <c r="Q15" s="61">
        <v>0</v>
      </c>
      <c r="R15" s="61">
        <v>0</v>
      </c>
      <c r="S15" s="61">
        <v>25</v>
      </c>
      <c r="T15" s="61">
        <v>0</v>
      </c>
      <c r="U15" s="61">
        <v>0</v>
      </c>
      <c r="V15" s="61">
        <v>0</v>
      </c>
      <c r="W15" s="61">
        <v>0</v>
      </c>
      <c r="X15" s="61">
        <v>0</v>
      </c>
      <c r="Y15" s="61">
        <v>3</v>
      </c>
      <c r="Z15" s="61">
        <v>0</v>
      </c>
      <c r="AA15" s="61">
        <v>0</v>
      </c>
      <c r="AB15" s="61">
        <v>0</v>
      </c>
      <c r="AC15" s="61">
        <v>125</v>
      </c>
    </row>
    <row r="16" spans="1:30" ht="18.75">
      <c r="A16" s="48">
        <v>10</v>
      </c>
      <c r="B16" s="25" t="s">
        <v>166</v>
      </c>
      <c r="C16" s="61">
        <v>300</v>
      </c>
      <c r="D16" s="61">
        <v>8</v>
      </c>
      <c r="E16" s="61">
        <v>8</v>
      </c>
      <c r="F16" s="61">
        <v>8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7</v>
      </c>
      <c r="N16" s="61">
        <v>4</v>
      </c>
      <c r="O16" s="61">
        <v>28</v>
      </c>
      <c r="P16" s="61">
        <v>0</v>
      </c>
      <c r="Q16" s="61">
        <v>0</v>
      </c>
      <c r="R16" s="61">
        <v>0</v>
      </c>
      <c r="S16" s="61">
        <v>52</v>
      </c>
      <c r="T16" s="61">
        <v>0</v>
      </c>
      <c r="U16" s="61">
        <v>0</v>
      </c>
      <c r="V16" s="61">
        <v>0</v>
      </c>
      <c r="W16" s="61">
        <v>0</v>
      </c>
      <c r="X16" s="61">
        <v>0</v>
      </c>
      <c r="Y16" s="61">
        <v>20</v>
      </c>
      <c r="Z16" s="61">
        <v>0</v>
      </c>
      <c r="AA16" s="61">
        <v>0</v>
      </c>
      <c r="AB16" s="61">
        <v>0</v>
      </c>
      <c r="AC16" s="61">
        <v>181</v>
      </c>
    </row>
    <row r="17" spans="1:29" ht="18.75">
      <c r="A17" s="48">
        <v>11</v>
      </c>
      <c r="B17" s="25" t="s">
        <v>167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8.75">
      <c r="A18" s="48">
        <v>12</v>
      </c>
      <c r="B18" s="25" t="s">
        <v>168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8.75">
      <c r="A19" s="122" t="s">
        <v>22</v>
      </c>
      <c r="B19" s="12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3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</row>
    <row r="20" spans="1:29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5" spans="1:29" ht="23.25" customHeight="1"/>
  </sheetData>
  <mergeCells count="30">
    <mergeCell ref="S4:S5"/>
    <mergeCell ref="Z4:Z5"/>
    <mergeCell ref="AA4:AA5"/>
    <mergeCell ref="AB4:AB5"/>
    <mergeCell ref="M4:M5"/>
    <mergeCell ref="O4:O5"/>
    <mergeCell ref="P4:P5"/>
    <mergeCell ref="Q4:Q5"/>
    <mergeCell ref="R4:R5"/>
    <mergeCell ref="D4:D5"/>
    <mergeCell ref="E4:E5"/>
    <mergeCell ref="F4:J4"/>
    <mergeCell ref="K4:K5"/>
    <mergeCell ref="L4:L5"/>
    <mergeCell ref="A19:B19"/>
    <mergeCell ref="A1:AC1"/>
    <mergeCell ref="AC3:AC5"/>
    <mergeCell ref="C3:C5"/>
    <mergeCell ref="A3:A5"/>
    <mergeCell ref="Z2:AC2"/>
    <mergeCell ref="T4:T5"/>
    <mergeCell ref="U4:U5"/>
    <mergeCell ref="V4:V5"/>
    <mergeCell ref="W4:W5"/>
    <mergeCell ref="X4:X5"/>
    <mergeCell ref="Y4:Y5"/>
    <mergeCell ref="N4:N5"/>
    <mergeCell ref="B3:B5"/>
    <mergeCell ref="D3:J3"/>
    <mergeCell ref="K3:AB3"/>
  </mergeCells>
  <pageMargins left="0.7" right="0.7" top="0.75" bottom="0.75" header="0.3" footer="0.3"/>
  <pageSetup paperSize="9" scale="67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25"/>
  <sheetViews>
    <sheetView workbookViewId="0">
      <selection activeCell="P16" sqref="P16"/>
    </sheetView>
  </sheetViews>
  <sheetFormatPr defaultRowHeight="15.75"/>
  <cols>
    <col min="1" max="1" width="4.85546875" style="9" customWidth="1"/>
    <col min="2" max="2" width="14" style="9" customWidth="1"/>
    <col min="3" max="3" width="8.5703125" style="9" customWidth="1"/>
    <col min="4" max="4" width="4.140625" style="9" customWidth="1"/>
    <col min="5" max="5" width="6.7109375" style="9" customWidth="1"/>
    <col min="6" max="6" width="7.28515625" style="9" customWidth="1"/>
    <col min="7" max="7" width="6.28515625" style="9" customWidth="1"/>
    <col min="8" max="20" width="9.28515625" style="9" customWidth="1"/>
    <col min="21" max="16384" width="9.140625" style="9"/>
  </cols>
  <sheetData>
    <row r="1" spans="1:20" ht="18.75">
      <c r="A1" s="144" t="s">
        <v>86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</row>
    <row r="2" spans="1:20" ht="18.7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5" t="s">
        <v>147</v>
      </c>
      <c r="R2" s="145"/>
      <c r="S2" s="145"/>
      <c r="T2" s="145"/>
    </row>
    <row r="3" spans="1:20" ht="33" customHeight="1">
      <c r="A3" s="118" t="s">
        <v>0</v>
      </c>
      <c r="B3" s="133" t="s">
        <v>21</v>
      </c>
      <c r="C3" s="133" t="s">
        <v>87</v>
      </c>
      <c r="D3" s="133" t="s">
        <v>88</v>
      </c>
      <c r="E3" s="133"/>
      <c r="F3" s="133"/>
      <c r="G3" s="133"/>
      <c r="H3" s="146" t="s">
        <v>89</v>
      </c>
      <c r="I3" s="147"/>
      <c r="J3" s="147"/>
      <c r="K3" s="147"/>
      <c r="L3" s="147"/>
      <c r="M3" s="147"/>
      <c r="N3" s="147"/>
      <c r="O3" s="147"/>
      <c r="P3" s="147"/>
      <c r="Q3" s="147"/>
      <c r="R3" s="148"/>
      <c r="S3" s="149" t="s">
        <v>90</v>
      </c>
      <c r="T3" s="150"/>
    </row>
    <row r="4" spans="1:20" ht="15.75" customHeight="1">
      <c r="A4" s="118"/>
      <c r="B4" s="133"/>
      <c r="C4" s="133"/>
      <c r="D4" s="125" t="s">
        <v>91</v>
      </c>
      <c r="E4" s="125" t="s">
        <v>92</v>
      </c>
      <c r="F4" s="125" t="s">
        <v>93</v>
      </c>
      <c r="G4" s="125" t="s">
        <v>94</v>
      </c>
      <c r="H4" s="125" t="s">
        <v>95</v>
      </c>
      <c r="I4" s="125" t="s">
        <v>96</v>
      </c>
      <c r="J4" s="125" t="s">
        <v>97</v>
      </c>
      <c r="K4" s="125" t="s">
        <v>98</v>
      </c>
      <c r="L4" s="125" t="s">
        <v>99</v>
      </c>
      <c r="M4" s="125" t="s">
        <v>100</v>
      </c>
      <c r="N4" s="125" t="s">
        <v>101</v>
      </c>
      <c r="O4" s="125" t="s">
        <v>102</v>
      </c>
      <c r="P4" s="125" t="s">
        <v>103</v>
      </c>
      <c r="Q4" s="125" t="s">
        <v>104</v>
      </c>
      <c r="R4" s="125" t="s">
        <v>105</v>
      </c>
      <c r="S4" s="125" t="s">
        <v>106</v>
      </c>
      <c r="T4" s="125" t="s">
        <v>107</v>
      </c>
    </row>
    <row r="5" spans="1:20" ht="93" customHeight="1">
      <c r="A5" s="118"/>
      <c r="B5" s="133"/>
      <c r="C5" s="133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</row>
    <row r="6" spans="1:20">
      <c r="A6" s="48">
        <v>1</v>
      </c>
      <c r="B6" s="25" t="s">
        <v>157</v>
      </c>
      <c r="C6" s="49">
        <v>86</v>
      </c>
      <c r="D6" s="48">
        <v>0</v>
      </c>
      <c r="E6" s="48">
        <v>0</v>
      </c>
      <c r="F6" s="48">
        <v>0</v>
      </c>
      <c r="G6" s="48">
        <v>0</v>
      </c>
      <c r="H6" s="65">
        <v>0</v>
      </c>
      <c r="I6" s="65">
        <v>38</v>
      </c>
      <c r="J6" s="65">
        <v>11</v>
      </c>
      <c r="K6" s="65">
        <v>4</v>
      </c>
      <c r="L6" s="65">
        <v>1</v>
      </c>
      <c r="M6" s="65">
        <v>3</v>
      </c>
      <c r="N6" s="65">
        <v>0</v>
      </c>
      <c r="O6" s="65">
        <v>0</v>
      </c>
      <c r="P6" s="65">
        <v>0</v>
      </c>
      <c r="Q6" s="65">
        <v>0</v>
      </c>
      <c r="R6" s="65">
        <v>29</v>
      </c>
      <c r="S6" s="65">
        <v>0</v>
      </c>
      <c r="T6" s="65">
        <v>0</v>
      </c>
    </row>
    <row r="7" spans="1:20">
      <c r="A7" s="48">
        <v>2</v>
      </c>
      <c r="B7" s="25" t="s">
        <v>158</v>
      </c>
      <c r="C7" s="49">
        <v>103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83">
        <v>34</v>
      </c>
      <c r="J7" s="83">
        <v>4</v>
      </c>
      <c r="K7" s="83">
        <v>1</v>
      </c>
      <c r="L7" s="83">
        <v>3</v>
      </c>
      <c r="M7" s="83">
        <v>8</v>
      </c>
      <c r="N7" s="83">
        <v>2</v>
      </c>
      <c r="O7" s="83">
        <v>0</v>
      </c>
      <c r="P7" s="83">
        <v>1</v>
      </c>
      <c r="Q7" s="83">
        <v>3</v>
      </c>
      <c r="R7" s="83">
        <v>47</v>
      </c>
      <c r="S7" s="65">
        <v>0</v>
      </c>
      <c r="T7" s="65">
        <v>0</v>
      </c>
    </row>
    <row r="8" spans="1:20">
      <c r="A8" s="48">
        <v>3</v>
      </c>
      <c r="B8" s="25" t="s">
        <v>159</v>
      </c>
      <c r="C8" s="49">
        <v>100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38</v>
      </c>
      <c r="J8" s="65">
        <v>7</v>
      </c>
      <c r="K8" s="65">
        <v>9</v>
      </c>
      <c r="L8" s="65">
        <v>4</v>
      </c>
      <c r="M8" s="65">
        <v>16</v>
      </c>
      <c r="N8" s="65">
        <v>5</v>
      </c>
      <c r="O8" s="65">
        <v>0</v>
      </c>
      <c r="P8" s="65">
        <v>0</v>
      </c>
      <c r="Q8" s="65">
        <v>8</v>
      </c>
      <c r="R8" s="65">
        <v>13</v>
      </c>
      <c r="S8" s="65">
        <v>0</v>
      </c>
      <c r="T8" s="65">
        <v>0</v>
      </c>
    </row>
    <row r="9" spans="1:20">
      <c r="A9" s="48"/>
      <c r="B9" s="25" t="s">
        <v>206</v>
      </c>
      <c r="C9" s="49">
        <f t="shared" ref="C9:T9" si="0">SUM(C6:C8)</f>
        <v>289</v>
      </c>
      <c r="D9" s="65">
        <f t="shared" si="0"/>
        <v>0</v>
      </c>
      <c r="E9" s="65">
        <f t="shared" si="0"/>
        <v>0</v>
      </c>
      <c r="F9" s="65">
        <f t="shared" si="0"/>
        <v>0</v>
      </c>
      <c r="G9" s="65">
        <f t="shared" si="0"/>
        <v>0</v>
      </c>
      <c r="H9" s="65">
        <f t="shared" si="0"/>
        <v>0</v>
      </c>
      <c r="I9" s="65">
        <f t="shared" si="0"/>
        <v>110</v>
      </c>
      <c r="J9" s="65">
        <f t="shared" si="0"/>
        <v>22</v>
      </c>
      <c r="K9" s="65">
        <f t="shared" si="0"/>
        <v>14</v>
      </c>
      <c r="L9" s="65">
        <f t="shared" si="0"/>
        <v>8</v>
      </c>
      <c r="M9" s="65">
        <f t="shared" si="0"/>
        <v>27</v>
      </c>
      <c r="N9" s="65">
        <f t="shared" si="0"/>
        <v>7</v>
      </c>
      <c r="O9" s="65">
        <f t="shared" si="0"/>
        <v>0</v>
      </c>
      <c r="P9" s="65">
        <f t="shared" si="0"/>
        <v>1</v>
      </c>
      <c r="Q9" s="65">
        <f t="shared" si="0"/>
        <v>11</v>
      </c>
      <c r="R9" s="65">
        <f t="shared" si="0"/>
        <v>89</v>
      </c>
      <c r="S9" s="65">
        <f t="shared" si="0"/>
        <v>0</v>
      </c>
      <c r="T9" s="65">
        <f t="shared" si="0"/>
        <v>0</v>
      </c>
    </row>
    <row r="10" spans="1:20">
      <c r="A10" s="48">
        <v>4</v>
      </c>
      <c r="B10" s="25" t="s">
        <v>160</v>
      </c>
      <c r="C10" s="49">
        <v>183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83">
        <v>80</v>
      </c>
      <c r="J10" s="83">
        <v>17</v>
      </c>
      <c r="K10" s="83">
        <v>7</v>
      </c>
      <c r="L10" s="83">
        <v>10</v>
      </c>
      <c r="M10" s="83">
        <v>31</v>
      </c>
      <c r="N10" s="83">
        <v>1</v>
      </c>
      <c r="O10" s="83">
        <v>0</v>
      </c>
      <c r="P10" s="83">
        <v>1</v>
      </c>
      <c r="Q10" s="83">
        <v>9</v>
      </c>
      <c r="R10" s="83">
        <v>27</v>
      </c>
      <c r="S10" s="65">
        <v>0</v>
      </c>
      <c r="T10" s="65">
        <v>0</v>
      </c>
    </row>
    <row r="11" spans="1:20">
      <c r="A11" s="48">
        <v>5</v>
      </c>
      <c r="B11" s="25" t="s">
        <v>161</v>
      </c>
      <c r="C11" s="49">
        <v>285</v>
      </c>
      <c r="D11" s="65"/>
      <c r="E11" s="65"/>
      <c r="F11" s="65"/>
      <c r="G11" s="65"/>
      <c r="H11" s="65"/>
      <c r="I11" s="65">
        <v>165</v>
      </c>
      <c r="J11" s="65">
        <v>15</v>
      </c>
      <c r="K11" s="65">
        <v>6</v>
      </c>
      <c r="L11" s="65">
        <v>3</v>
      </c>
      <c r="M11" s="65">
        <v>40</v>
      </c>
      <c r="N11" s="65">
        <v>0</v>
      </c>
      <c r="O11" s="65">
        <v>0</v>
      </c>
      <c r="P11" s="65">
        <v>0</v>
      </c>
      <c r="Q11" s="65">
        <v>6</v>
      </c>
      <c r="R11" s="65">
        <v>50</v>
      </c>
      <c r="S11" s="65"/>
      <c r="T11" s="65"/>
    </row>
    <row r="12" spans="1:20">
      <c r="A12" s="48">
        <v>6</v>
      </c>
      <c r="B12" s="25" t="s">
        <v>162</v>
      </c>
      <c r="C12" s="99">
        <v>203</v>
      </c>
      <c r="D12" s="100"/>
      <c r="E12" s="101">
        <v>203</v>
      </c>
      <c r="F12" s="101"/>
      <c r="G12" s="102"/>
      <c r="H12" s="100"/>
      <c r="I12" s="101">
        <v>98</v>
      </c>
      <c r="J12" s="101">
        <v>19</v>
      </c>
      <c r="K12" s="101">
        <v>1</v>
      </c>
      <c r="L12" s="101">
        <v>2</v>
      </c>
      <c r="M12" s="101">
        <v>57</v>
      </c>
      <c r="N12" s="101"/>
      <c r="O12" s="101"/>
      <c r="P12" s="101"/>
      <c r="Q12" s="101">
        <v>4</v>
      </c>
      <c r="R12" s="102">
        <v>22</v>
      </c>
      <c r="S12" s="100"/>
      <c r="T12" s="102"/>
    </row>
    <row r="13" spans="1:20">
      <c r="A13" s="48">
        <v>7</v>
      </c>
      <c r="B13" s="25" t="s">
        <v>163</v>
      </c>
      <c r="C13" s="49">
        <v>376</v>
      </c>
      <c r="D13" s="65"/>
      <c r="E13" s="65"/>
      <c r="F13" s="65"/>
      <c r="G13" s="65"/>
      <c r="H13" s="65"/>
      <c r="I13" s="65">
        <v>128</v>
      </c>
      <c r="J13" s="65">
        <v>29</v>
      </c>
      <c r="K13" s="65">
        <v>3</v>
      </c>
      <c r="L13" s="65">
        <v>4</v>
      </c>
      <c r="M13" s="65">
        <v>113</v>
      </c>
      <c r="N13" s="65"/>
      <c r="O13" s="65">
        <v>2</v>
      </c>
      <c r="P13" s="65"/>
      <c r="Q13" s="65">
        <v>15</v>
      </c>
      <c r="R13" s="65">
        <v>82</v>
      </c>
      <c r="S13" s="65"/>
      <c r="T13" s="65"/>
    </row>
    <row r="14" spans="1:20">
      <c r="A14" s="48">
        <v>8</v>
      </c>
      <c r="B14" s="25" t="s">
        <v>164</v>
      </c>
      <c r="C14" s="49">
        <v>225</v>
      </c>
      <c r="D14" s="65">
        <v>0</v>
      </c>
      <c r="E14" s="65">
        <v>225</v>
      </c>
      <c r="F14" s="65">
        <v>0</v>
      </c>
      <c r="G14" s="65">
        <v>0</v>
      </c>
      <c r="H14" s="65">
        <v>0</v>
      </c>
      <c r="I14" s="65">
        <v>122</v>
      </c>
      <c r="J14" s="65">
        <v>2</v>
      </c>
      <c r="K14" s="65">
        <v>0</v>
      </c>
      <c r="L14" s="65">
        <v>0</v>
      </c>
      <c r="M14" s="65">
        <v>97</v>
      </c>
      <c r="N14" s="65">
        <v>0</v>
      </c>
      <c r="O14" s="65">
        <v>0</v>
      </c>
      <c r="P14" s="65">
        <v>0</v>
      </c>
      <c r="Q14" s="65">
        <v>4</v>
      </c>
      <c r="R14" s="65">
        <v>0</v>
      </c>
      <c r="S14" s="65">
        <v>0</v>
      </c>
      <c r="T14" s="65">
        <v>0</v>
      </c>
    </row>
    <row r="15" spans="1:20">
      <c r="A15" s="48">
        <v>9</v>
      </c>
      <c r="B15" s="25" t="s">
        <v>165</v>
      </c>
      <c r="C15" s="49">
        <v>180</v>
      </c>
      <c r="D15" s="65">
        <v>0</v>
      </c>
      <c r="E15" s="65">
        <v>180</v>
      </c>
      <c r="F15" s="65">
        <v>0</v>
      </c>
      <c r="G15" s="65">
        <v>0</v>
      </c>
      <c r="H15" s="65">
        <v>0</v>
      </c>
      <c r="I15" s="65">
        <v>90</v>
      </c>
      <c r="J15" s="65">
        <v>5</v>
      </c>
      <c r="K15" s="65">
        <v>0</v>
      </c>
      <c r="L15" s="65">
        <v>0</v>
      </c>
      <c r="M15" s="65">
        <v>82</v>
      </c>
      <c r="N15" s="65">
        <v>0</v>
      </c>
      <c r="O15" s="65">
        <v>0</v>
      </c>
      <c r="P15" s="65">
        <v>0</v>
      </c>
      <c r="Q15" s="65">
        <v>3</v>
      </c>
      <c r="R15" s="65">
        <v>0</v>
      </c>
      <c r="S15" s="65">
        <v>0</v>
      </c>
      <c r="T15" s="65">
        <v>0</v>
      </c>
    </row>
    <row r="16" spans="1:20">
      <c r="A16" s="48">
        <v>10</v>
      </c>
      <c r="B16" s="25" t="s">
        <v>166</v>
      </c>
      <c r="C16" s="49">
        <v>300</v>
      </c>
      <c r="D16" s="65">
        <v>0</v>
      </c>
      <c r="E16" s="65">
        <v>300</v>
      </c>
      <c r="F16" s="65">
        <v>0</v>
      </c>
      <c r="G16" s="65">
        <v>0</v>
      </c>
      <c r="H16" s="65">
        <v>0</v>
      </c>
      <c r="I16" s="65">
        <v>243</v>
      </c>
      <c r="J16" s="65">
        <v>7</v>
      </c>
      <c r="K16" s="65">
        <v>4</v>
      </c>
      <c r="L16" s="65">
        <v>2</v>
      </c>
      <c r="M16" s="65">
        <v>14</v>
      </c>
      <c r="N16" s="65">
        <v>2</v>
      </c>
      <c r="O16" s="65">
        <v>0</v>
      </c>
      <c r="P16" s="65">
        <v>0</v>
      </c>
      <c r="Q16" s="65">
        <v>4</v>
      </c>
      <c r="R16" s="65">
        <v>24</v>
      </c>
      <c r="S16" s="65">
        <v>0</v>
      </c>
      <c r="T16" s="65">
        <v>0</v>
      </c>
    </row>
    <row r="17" spans="1:20">
      <c r="A17" s="48">
        <v>11</v>
      </c>
      <c r="B17" s="25" t="s">
        <v>167</v>
      </c>
      <c r="C17" s="4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</row>
    <row r="18" spans="1:20">
      <c r="A18" s="48">
        <v>12</v>
      </c>
      <c r="B18" s="25" t="s">
        <v>168</v>
      </c>
      <c r="C18" s="49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</row>
    <row r="19" spans="1:20">
      <c r="A19" s="122" t="s">
        <v>22</v>
      </c>
      <c r="B19" s="122"/>
      <c r="C19" s="49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</row>
    <row r="25" spans="1:20" ht="24" customHeight="1"/>
  </sheetData>
  <mergeCells count="26">
    <mergeCell ref="A19:B19"/>
    <mergeCell ref="L4:L5"/>
    <mergeCell ref="M4:M5"/>
    <mergeCell ref="N4:N5"/>
    <mergeCell ref="O4:O5"/>
    <mergeCell ref="F4:F5"/>
    <mergeCell ref="G4:G5"/>
    <mergeCell ref="H4:H5"/>
    <mergeCell ref="I4:I5"/>
    <mergeCell ref="J4:J5"/>
    <mergeCell ref="K4:K5"/>
    <mergeCell ref="A1:T1"/>
    <mergeCell ref="Q2:T2"/>
    <mergeCell ref="A3:A5"/>
    <mergeCell ref="B3:B5"/>
    <mergeCell ref="C3:C5"/>
    <mergeCell ref="D3:G3"/>
    <mergeCell ref="H3:R3"/>
    <mergeCell ref="S3:T3"/>
    <mergeCell ref="D4:D5"/>
    <mergeCell ref="E4:E5"/>
    <mergeCell ref="R4:R5"/>
    <mergeCell ref="S4:S5"/>
    <mergeCell ref="T4:T5"/>
    <mergeCell ref="P4:P5"/>
    <mergeCell ref="Q4:Q5"/>
  </mergeCells>
  <pageMargins left="0.7" right="0.7" top="0.75" bottom="0.75" header="0.3" footer="0.3"/>
  <pageSetup paperSize="9" scale="76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24"/>
  <sheetViews>
    <sheetView workbookViewId="0">
      <selection activeCell="L15" sqref="L15"/>
    </sheetView>
  </sheetViews>
  <sheetFormatPr defaultRowHeight="15.75"/>
  <cols>
    <col min="1" max="1" width="4.28515625" style="9" customWidth="1"/>
    <col min="2" max="2" width="13.7109375" style="9" customWidth="1"/>
    <col min="3" max="4" width="9.140625" style="9"/>
    <col min="5" max="5" width="7.7109375" style="9" customWidth="1"/>
    <col min="6" max="6" width="8" style="9" customWidth="1"/>
    <col min="7" max="7" width="8.5703125" style="9" customWidth="1"/>
    <col min="8" max="16384" width="9.140625" style="9"/>
  </cols>
  <sheetData>
    <row r="1" spans="1:17" ht="18.75" customHeight="1">
      <c r="A1" s="123" t="s">
        <v>126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</row>
    <row r="2" spans="1:17" ht="19.5">
      <c r="A2" s="18"/>
      <c r="B2" s="18"/>
      <c r="C2" s="18"/>
      <c r="D2" s="18"/>
      <c r="E2" s="18"/>
      <c r="F2" s="18"/>
      <c r="G2" s="19"/>
      <c r="H2" s="18"/>
      <c r="I2" s="18"/>
      <c r="J2" s="18"/>
      <c r="K2" s="18"/>
      <c r="L2" s="18"/>
      <c r="M2" s="18"/>
      <c r="N2" s="18"/>
      <c r="O2" s="143" t="s">
        <v>146</v>
      </c>
      <c r="P2" s="143"/>
      <c r="Q2" s="143"/>
    </row>
    <row r="3" spans="1:17" ht="48" customHeight="1">
      <c r="A3" s="133" t="s">
        <v>0</v>
      </c>
      <c r="B3" s="133" t="s">
        <v>21</v>
      </c>
      <c r="C3" s="125" t="s">
        <v>108</v>
      </c>
      <c r="D3" s="125" t="s">
        <v>109</v>
      </c>
      <c r="E3" s="133" t="s">
        <v>110</v>
      </c>
      <c r="F3" s="133"/>
      <c r="G3" s="133"/>
      <c r="H3" s="133" t="s">
        <v>114</v>
      </c>
      <c r="I3" s="133"/>
      <c r="J3" s="133"/>
      <c r="K3" s="133"/>
      <c r="L3" s="133"/>
      <c r="M3" s="151" t="s">
        <v>119</v>
      </c>
      <c r="N3" s="151" t="s">
        <v>120</v>
      </c>
      <c r="O3" s="151" t="s">
        <v>121</v>
      </c>
      <c r="P3" s="149" t="s">
        <v>123</v>
      </c>
      <c r="Q3" s="150"/>
    </row>
    <row r="4" spans="1:17" ht="145.5">
      <c r="A4" s="133"/>
      <c r="B4" s="133"/>
      <c r="C4" s="125"/>
      <c r="D4" s="125"/>
      <c r="E4" s="24" t="s">
        <v>111</v>
      </c>
      <c r="F4" s="24" t="s">
        <v>112</v>
      </c>
      <c r="G4" s="24" t="s">
        <v>113</v>
      </c>
      <c r="H4" s="24" t="s">
        <v>115</v>
      </c>
      <c r="I4" s="24" t="s">
        <v>116</v>
      </c>
      <c r="J4" s="24" t="s">
        <v>117</v>
      </c>
      <c r="K4" s="24" t="s">
        <v>118</v>
      </c>
      <c r="L4" s="24" t="s">
        <v>122</v>
      </c>
      <c r="M4" s="152"/>
      <c r="N4" s="152"/>
      <c r="O4" s="152"/>
      <c r="P4" s="24" t="s">
        <v>124</v>
      </c>
      <c r="Q4" s="24" t="s">
        <v>125</v>
      </c>
    </row>
    <row r="5" spans="1:17" ht="15.75" customHeight="1">
      <c r="A5" s="48">
        <v>1</v>
      </c>
      <c r="B5" s="25" t="s">
        <v>157</v>
      </c>
      <c r="C5" s="49">
        <v>86</v>
      </c>
      <c r="D5" s="49">
        <v>86</v>
      </c>
      <c r="E5" s="49">
        <v>0</v>
      </c>
      <c r="F5" s="49">
        <v>0</v>
      </c>
      <c r="G5" s="49">
        <v>0</v>
      </c>
      <c r="H5" s="65">
        <v>3</v>
      </c>
      <c r="I5" s="65">
        <v>11</v>
      </c>
      <c r="J5" s="65">
        <v>1</v>
      </c>
      <c r="K5" s="48">
        <v>5</v>
      </c>
      <c r="L5" s="48">
        <v>17</v>
      </c>
      <c r="M5" s="48">
        <v>49</v>
      </c>
      <c r="N5" s="48">
        <v>0</v>
      </c>
      <c r="O5" s="48">
        <v>86</v>
      </c>
      <c r="P5" s="48">
        <v>30</v>
      </c>
      <c r="Q5" s="48">
        <v>56</v>
      </c>
    </row>
    <row r="6" spans="1:17" ht="15.75" customHeight="1">
      <c r="A6" s="48">
        <v>2</v>
      </c>
      <c r="B6" s="25" t="s">
        <v>158</v>
      </c>
      <c r="C6" s="49">
        <v>103</v>
      </c>
      <c r="D6" s="49">
        <v>103</v>
      </c>
      <c r="E6" s="49">
        <v>0</v>
      </c>
      <c r="F6" s="49">
        <v>0</v>
      </c>
      <c r="G6" s="49">
        <v>0</v>
      </c>
      <c r="H6" s="83">
        <v>8</v>
      </c>
      <c r="I6" s="83">
        <v>4</v>
      </c>
      <c r="J6" s="83">
        <v>0</v>
      </c>
      <c r="K6" s="33">
        <v>47</v>
      </c>
      <c r="L6" s="33">
        <v>12</v>
      </c>
      <c r="M6" s="33">
        <v>32</v>
      </c>
      <c r="N6" s="65">
        <v>0</v>
      </c>
      <c r="O6" s="48">
        <v>103</v>
      </c>
      <c r="P6" s="48">
        <v>30</v>
      </c>
      <c r="Q6" s="48">
        <v>73</v>
      </c>
    </row>
    <row r="7" spans="1:17">
      <c r="A7" s="48">
        <v>3</v>
      </c>
      <c r="B7" s="25" t="s">
        <v>159</v>
      </c>
      <c r="C7" s="49">
        <v>100</v>
      </c>
      <c r="D7" s="49">
        <v>100</v>
      </c>
      <c r="E7" s="49">
        <v>0</v>
      </c>
      <c r="F7" s="49">
        <v>0</v>
      </c>
      <c r="G7" s="49">
        <v>0</v>
      </c>
      <c r="H7" s="65">
        <v>16</v>
      </c>
      <c r="I7" s="65">
        <v>7</v>
      </c>
      <c r="J7" s="65">
        <v>0</v>
      </c>
      <c r="K7" s="65">
        <v>13</v>
      </c>
      <c r="L7" s="65">
        <v>8</v>
      </c>
      <c r="M7" s="48">
        <v>56</v>
      </c>
      <c r="N7" s="65">
        <v>0</v>
      </c>
      <c r="O7" s="48">
        <v>100</v>
      </c>
      <c r="P7" s="48">
        <v>40</v>
      </c>
      <c r="Q7" s="48">
        <v>60</v>
      </c>
    </row>
    <row r="8" spans="1:17">
      <c r="A8" s="48"/>
      <c r="B8" s="25" t="s">
        <v>206</v>
      </c>
      <c r="C8" s="49">
        <f t="shared" ref="C8:Q8" si="0">SUM(C5:C7)</f>
        <v>289</v>
      </c>
      <c r="D8" s="49">
        <f t="shared" si="0"/>
        <v>289</v>
      </c>
      <c r="E8" s="49">
        <f t="shared" si="0"/>
        <v>0</v>
      </c>
      <c r="F8" s="49">
        <f t="shared" si="0"/>
        <v>0</v>
      </c>
      <c r="G8" s="49">
        <f t="shared" si="0"/>
        <v>0</v>
      </c>
      <c r="H8" s="65">
        <f t="shared" si="0"/>
        <v>27</v>
      </c>
      <c r="I8" s="65">
        <f t="shared" si="0"/>
        <v>22</v>
      </c>
      <c r="J8" s="65">
        <f t="shared" si="0"/>
        <v>1</v>
      </c>
      <c r="K8" s="65">
        <f t="shared" si="0"/>
        <v>65</v>
      </c>
      <c r="L8" s="65">
        <f t="shared" si="0"/>
        <v>37</v>
      </c>
      <c r="M8" s="48">
        <f t="shared" si="0"/>
        <v>137</v>
      </c>
      <c r="N8" s="65">
        <f t="shared" si="0"/>
        <v>0</v>
      </c>
      <c r="O8" s="48">
        <f t="shared" si="0"/>
        <v>289</v>
      </c>
      <c r="P8" s="48">
        <f t="shared" si="0"/>
        <v>100</v>
      </c>
      <c r="Q8" s="48">
        <f t="shared" si="0"/>
        <v>189</v>
      </c>
    </row>
    <row r="9" spans="1:17">
      <c r="A9" s="48">
        <v>4</v>
      </c>
      <c r="B9" s="25" t="s">
        <v>160</v>
      </c>
      <c r="C9" s="49">
        <v>183</v>
      </c>
      <c r="D9" s="48">
        <v>183</v>
      </c>
      <c r="E9" s="48">
        <v>0</v>
      </c>
      <c r="F9" s="48">
        <v>0</v>
      </c>
      <c r="G9" s="65">
        <v>0</v>
      </c>
      <c r="H9" s="83">
        <v>31</v>
      </c>
      <c r="I9" s="83">
        <v>17</v>
      </c>
      <c r="J9" s="83">
        <v>0</v>
      </c>
      <c r="K9" s="83">
        <v>27</v>
      </c>
      <c r="L9" s="83">
        <v>28</v>
      </c>
      <c r="M9" s="33">
        <v>80</v>
      </c>
      <c r="N9" s="65">
        <v>0</v>
      </c>
      <c r="O9" s="48">
        <v>183</v>
      </c>
      <c r="P9" s="48">
        <v>80</v>
      </c>
      <c r="Q9" s="48">
        <v>103</v>
      </c>
    </row>
    <row r="10" spans="1:17">
      <c r="A10" s="48">
        <v>5</v>
      </c>
      <c r="B10" s="25" t="s">
        <v>161</v>
      </c>
      <c r="C10" s="49">
        <v>285</v>
      </c>
      <c r="D10" s="48">
        <v>285</v>
      </c>
      <c r="E10" s="48">
        <v>0</v>
      </c>
      <c r="F10" s="48">
        <v>0</v>
      </c>
      <c r="G10" s="65">
        <v>0</v>
      </c>
      <c r="H10" s="65">
        <v>40</v>
      </c>
      <c r="I10" s="65">
        <v>15</v>
      </c>
      <c r="J10" s="65">
        <v>0</v>
      </c>
      <c r="K10" s="65">
        <v>215</v>
      </c>
      <c r="L10" s="65">
        <v>15</v>
      </c>
      <c r="M10" s="48">
        <v>165</v>
      </c>
      <c r="N10" s="65">
        <v>0</v>
      </c>
      <c r="O10" s="48">
        <v>314</v>
      </c>
      <c r="P10" s="48">
        <v>40</v>
      </c>
      <c r="Q10" s="48">
        <v>274</v>
      </c>
    </row>
    <row r="11" spans="1:17">
      <c r="A11" s="48">
        <v>6</v>
      </c>
      <c r="B11" s="25" t="s">
        <v>162</v>
      </c>
      <c r="C11" s="99">
        <v>203</v>
      </c>
      <c r="D11" s="87">
        <v>203</v>
      </c>
      <c r="E11" s="88">
        <v>0</v>
      </c>
      <c r="F11" s="3">
        <v>0</v>
      </c>
      <c r="G11" s="102">
        <v>0</v>
      </c>
      <c r="H11" s="100">
        <v>57</v>
      </c>
      <c r="I11" s="101">
        <v>19</v>
      </c>
      <c r="J11" s="101">
        <v>0</v>
      </c>
      <c r="K11" s="3">
        <v>123</v>
      </c>
      <c r="L11" s="93">
        <v>4</v>
      </c>
      <c r="M11" s="87">
        <v>0</v>
      </c>
      <c r="N11" s="103">
        <v>0</v>
      </c>
      <c r="O11" s="87">
        <v>210</v>
      </c>
      <c r="P11" s="88">
        <v>30</v>
      </c>
      <c r="Q11" s="93">
        <v>180</v>
      </c>
    </row>
    <row r="12" spans="1:17">
      <c r="A12" s="48">
        <v>7</v>
      </c>
      <c r="B12" s="25" t="s">
        <v>163</v>
      </c>
      <c r="C12" s="49">
        <v>376</v>
      </c>
      <c r="D12" s="48">
        <v>376</v>
      </c>
      <c r="E12" s="48">
        <v>0</v>
      </c>
      <c r="F12" s="48">
        <v>0</v>
      </c>
      <c r="G12" s="65">
        <v>0</v>
      </c>
      <c r="H12" s="65">
        <v>113</v>
      </c>
      <c r="I12" s="65">
        <v>29</v>
      </c>
      <c r="J12" s="65">
        <v>0</v>
      </c>
      <c r="K12" s="65">
        <v>15</v>
      </c>
      <c r="L12" s="65">
        <v>128</v>
      </c>
      <c r="M12" s="48">
        <v>91</v>
      </c>
      <c r="N12" s="65">
        <v>0</v>
      </c>
      <c r="O12" s="48">
        <v>376</v>
      </c>
      <c r="P12" s="48">
        <v>68</v>
      </c>
      <c r="Q12" s="48">
        <v>308</v>
      </c>
    </row>
    <row r="13" spans="1:17">
      <c r="A13" s="48">
        <v>8</v>
      </c>
      <c r="B13" s="25" t="s">
        <v>164</v>
      </c>
      <c r="C13" s="49">
        <v>225</v>
      </c>
      <c r="D13" s="48">
        <v>225</v>
      </c>
      <c r="E13" s="48">
        <v>0</v>
      </c>
      <c r="F13" s="48">
        <v>0</v>
      </c>
      <c r="G13" s="65">
        <v>0</v>
      </c>
      <c r="H13" s="65">
        <v>97</v>
      </c>
      <c r="I13" s="65">
        <v>2</v>
      </c>
      <c r="J13" s="65">
        <v>0</v>
      </c>
      <c r="K13" s="48">
        <v>4</v>
      </c>
      <c r="L13" s="48">
        <v>122</v>
      </c>
      <c r="M13" s="48">
        <v>122</v>
      </c>
      <c r="N13" s="65">
        <v>0</v>
      </c>
      <c r="O13" s="48">
        <v>228</v>
      </c>
      <c r="P13" s="48">
        <v>18</v>
      </c>
      <c r="Q13" s="48">
        <v>207</v>
      </c>
    </row>
    <row r="14" spans="1:17">
      <c r="A14" s="48">
        <v>9</v>
      </c>
      <c r="B14" s="25" t="s">
        <v>165</v>
      </c>
      <c r="C14" s="49">
        <v>180</v>
      </c>
      <c r="D14" s="48">
        <v>180</v>
      </c>
      <c r="E14" s="48">
        <v>0</v>
      </c>
      <c r="F14" s="48">
        <v>0</v>
      </c>
      <c r="G14" s="65">
        <v>0</v>
      </c>
      <c r="H14" s="65">
        <v>82</v>
      </c>
      <c r="I14" s="65">
        <v>5</v>
      </c>
      <c r="J14" s="65">
        <v>0</v>
      </c>
      <c r="K14" s="48">
        <v>3</v>
      </c>
      <c r="L14" s="48">
        <v>90</v>
      </c>
      <c r="M14" s="48">
        <v>90</v>
      </c>
      <c r="N14" s="65">
        <v>0</v>
      </c>
      <c r="O14" s="48">
        <v>207</v>
      </c>
      <c r="P14" s="48">
        <v>28</v>
      </c>
      <c r="Q14" s="48">
        <v>179</v>
      </c>
    </row>
    <row r="15" spans="1:17">
      <c r="A15" s="48">
        <v>10</v>
      </c>
      <c r="B15" s="25" t="s">
        <v>166</v>
      </c>
      <c r="C15" s="49">
        <v>300</v>
      </c>
      <c r="D15" s="48">
        <v>300</v>
      </c>
      <c r="E15" s="48">
        <v>0</v>
      </c>
      <c r="F15" s="48">
        <v>0</v>
      </c>
      <c r="G15" s="65">
        <v>0</v>
      </c>
      <c r="H15" s="65">
        <v>14</v>
      </c>
      <c r="I15" s="65">
        <v>7</v>
      </c>
      <c r="J15" s="65">
        <v>0</v>
      </c>
      <c r="K15" s="48">
        <v>106</v>
      </c>
      <c r="L15" s="48">
        <v>173</v>
      </c>
      <c r="M15" s="48">
        <v>173</v>
      </c>
      <c r="N15" s="65">
        <v>0</v>
      </c>
      <c r="O15" s="48">
        <v>354</v>
      </c>
      <c r="P15" s="48">
        <v>72</v>
      </c>
      <c r="Q15" s="48">
        <v>282</v>
      </c>
    </row>
    <row r="16" spans="1:17">
      <c r="A16" s="48">
        <v>11</v>
      </c>
      <c r="B16" s="25" t="s">
        <v>167</v>
      </c>
      <c r="C16" s="49"/>
      <c r="D16" s="48"/>
      <c r="E16" s="48"/>
      <c r="F16" s="48"/>
      <c r="G16" s="65"/>
      <c r="H16" s="65"/>
      <c r="I16" s="65"/>
      <c r="J16" s="65"/>
      <c r="K16" s="48"/>
      <c r="L16" s="48"/>
      <c r="M16" s="48"/>
      <c r="N16" s="65"/>
      <c r="O16" s="48"/>
      <c r="P16" s="48"/>
      <c r="Q16" s="48"/>
    </row>
    <row r="17" spans="1:17">
      <c r="A17" s="48">
        <v>12</v>
      </c>
      <c r="B17" s="25" t="s">
        <v>168</v>
      </c>
      <c r="C17" s="49"/>
      <c r="D17" s="48"/>
      <c r="E17" s="48"/>
      <c r="F17" s="48"/>
      <c r="G17" s="65"/>
      <c r="H17" s="65"/>
      <c r="I17" s="65"/>
      <c r="J17" s="65"/>
      <c r="K17" s="48"/>
      <c r="L17" s="48"/>
      <c r="M17" s="48"/>
      <c r="N17" s="65"/>
      <c r="O17" s="48"/>
      <c r="P17" s="48"/>
      <c r="Q17" s="48"/>
    </row>
    <row r="18" spans="1:17">
      <c r="A18" s="122" t="s">
        <v>22</v>
      </c>
      <c r="B18" s="122"/>
      <c r="C18" s="66"/>
      <c r="D18" s="53"/>
      <c r="E18" s="53"/>
      <c r="F18" s="53"/>
      <c r="G18" s="67"/>
      <c r="H18" s="67"/>
      <c r="I18" s="67"/>
      <c r="J18" s="67"/>
      <c r="K18" s="52"/>
      <c r="L18" s="52"/>
      <c r="M18" s="52"/>
      <c r="N18" s="67"/>
      <c r="O18" s="52"/>
      <c r="P18" s="52"/>
      <c r="Q18" s="52"/>
    </row>
    <row r="19" spans="1:17">
      <c r="A19" s="10"/>
    </row>
    <row r="24" spans="1:17" ht="30" customHeight="1"/>
  </sheetData>
  <mergeCells count="13">
    <mergeCell ref="A18:B18"/>
    <mergeCell ref="A3:A4"/>
    <mergeCell ref="E3:G3"/>
    <mergeCell ref="A1:Q1"/>
    <mergeCell ref="O2:Q2"/>
    <mergeCell ref="H3:L3"/>
    <mergeCell ref="O3:O4"/>
    <mergeCell ref="N3:N4"/>
    <mergeCell ref="M3:M4"/>
    <mergeCell ref="P3:Q3"/>
    <mergeCell ref="B3:B4"/>
    <mergeCell ref="C3:C4"/>
    <mergeCell ref="D3:D4"/>
  </mergeCells>
  <pageMargins left="0.7" right="0.7" top="0.75" bottom="0.75" header="0.3" footer="0.3"/>
  <pageSetup paperSize="9" scale="25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X26"/>
  <sheetViews>
    <sheetView topLeftCell="B1" zoomScale="80" zoomScaleNormal="80" workbookViewId="0">
      <selection activeCell="L15" sqref="L15"/>
    </sheetView>
  </sheetViews>
  <sheetFormatPr defaultRowHeight="15.75"/>
  <cols>
    <col min="1" max="1" width="4.42578125" style="5" customWidth="1"/>
    <col min="2" max="2" width="11.28515625" style="5" customWidth="1"/>
    <col min="3" max="3" width="8.28515625" style="5" customWidth="1"/>
    <col min="4" max="4" width="7.140625" style="5" customWidth="1"/>
    <col min="5" max="5" width="3.140625" style="5" customWidth="1"/>
    <col min="6" max="6" width="3.5703125" style="5" customWidth="1"/>
    <col min="7" max="7" width="3.140625" style="5" customWidth="1"/>
    <col min="8" max="8" width="3.28515625" style="5" customWidth="1"/>
    <col min="9" max="10" width="3.85546875" style="5" customWidth="1"/>
    <col min="11" max="11" width="6.42578125" style="5" customWidth="1"/>
    <col min="12" max="12" width="6.5703125" style="5" customWidth="1"/>
    <col min="13" max="13" width="4.140625" style="5" customWidth="1"/>
    <col min="14" max="14" width="3.85546875" style="5" customWidth="1"/>
    <col min="15" max="15" width="5.140625" style="5" customWidth="1"/>
    <col min="16" max="16" width="5" style="5" customWidth="1"/>
    <col min="17" max="17" width="5.7109375" style="5" customWidth="1"/>
    <col min="18" max="18" width="3.85546875" style="5" customWidth="1"/>
    <col min="19" max="19" width="5.140625" style="5" customWidth="1"/>
    <col min="20" max="20" width="4.85546875" style="5" customWidth="1"/>
    <col min="21" max="21" width="3.7109375" style="5" customWidth="1"/>
    <col min="22" max="23" width="3.5703125" style="5" customWidth="1"/>
    <col min="24" max="24" width="3.42578125" style="5" customWidth="1"/>
    <col min="25" max="25" width="3.85546875" style="5" customWidth="1"/>
    <col min="26" max="26" width="5" style="5" customWidth="1"/>
    <col min="27" max="27" width="4.85546875" style="5" customWidth="1"/>
    <col min="28" max="28" width="3.7109375" style="5" customWidth="1"/>
    <col min="29" max="29" width="4" style="5" customWidth="1"/>
    <col min="30" max="30" width="3.140625" style="5" customWidth="1"/>
    <col min="31" max="31" width="3.7109375" style="5" customWidth="1"/>
    <col min="32" max="32" width="5" style="5" customWidth="1"/>
    <col min="33" max="33" width="5.5703125" style="5" customWidth="1"/>
    <col min="34" max="34" width="4.5703125" style="5" customWidth="1"/>
    <col min="35" max="35" width="5.5703125" style="5" customWidth="1"/>
    <col min="36" max="36" width="4.28515625" style="5" customWidth="1"/>
    <col min="37" max="37" width="4.7109375" style="5" customWidth="1"/>
    <col min="38" max="39" width="4.42578125" style="5" customWidth="1"/>
    <col min="40" max="40" width="4.28515625" style="5" customWidth="1"/>
    <col min="41" max="41" width="5" style="5" customWidth="1"/>
    <col min="42" max="42" width="4.42578125" style="5" customWidth="1"/>
    <col min="43" max="43" width="5.5703125" style="5" customWidth="1"/>
    <col min="44" max="44" width="4.5703125" style="5" customWidth="1"/>
    <col min="45" max="45" width="4" style="5" customWidth="1"/>
    <col min="46" max="46" width="4.5703125" style="5" customWidth="1"/>
    <col min="47" max="48" width="4.28515625" style="5" customWidth="1"/>
    <col min="49" max="49" width="5.28515625" style="5" customWidth="1"/>
    <col min="50" max="50" width="7.42578125" style="5" customWidth="1"/>
    <col min="51" max="16384" width="9.140625" style="5"/>
  </cols>
  <sheetData>
    <row r="1" spans="1:50">
      <c r="A1" s="158" t="s">
        <v>133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6"/>
    </row>
    <row r="2" spans="1:50" ht="15.75" customHeight="1">
      <c r="A2" s="1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159" t="s">
        <v>145</v>
      </c>
      <c r="AT2" s="159"/>
      <c r="AU2" s="159"/>
      <c r="AV2" s="159"/>
      <c r="AW2" s="159"/>
      <c r="AX2" s="159"/>
    </row>
    <row r="3" spans="1:50" s="7" customFormat="1" ht="15.75" customHeight="1">
      <c r="A3" s="133" t="s">
        <v>0</v>
      </c>
      <c r="B3" s="157" t="s">
        <v>21</v>
      </c>
      <c r="C3" s="153" t="s">
        <v>127</v>
      </c>
      <c r="D3" s="154"/>
      <c r="E3" s="154"/>
      <c r="F3" s="154"/>
      <c r="G3" s="154"/>
      <c r="H3" s="154"/>
      <c r="I3" s="154"/>
      <c r="J3" s="155"/>
      <c r="K3" s="153" t="s">
        <v>129</v>
      </c>
      <c r="L3" s="154"/>
      <c r="M3" s="154"/>
      <c r="N3" s="154"/>
      <c r="O3" s="154"/>
      <c r="P3" s="154"/>
      <c r="Q3" s="154"/>
      <c r="R3" s="155"/>
      <c r="S3" s="153" t="s">
        <v>130</v>
      </c>
      <c r="T3" s="154"/>
      <c r="U3" s="154"/>
      <c r="V3" s="154"/>
      <c r="W3" s="154"/>
      <c r="X3" s="154"/>
      <c r="Y3" s="154"/>
      <c r="Z3" s="155"/>
      <c r="AA3" s="153" t="s">
        <v>131</v>
      </c>
      <c r="AB3" s="154"/>
      <c r="AC3" s="154"/>
      <c r="AD3" s="154"/>
      <c r="AE3" s="154"/>
      <c r="AF3" s="154"/>
      <c r="AG3" s="154"/>
      <c r="AH3" s="155"/>
      <c r="AI3" s="149" t="s">
        <v>132</v>
      </c>
      <c r="AJ3" s="156"/>
      <c r="AK3" s="156"/>
      <c r="AL3" s="156"/>
      <c r="AM3" s="156"/>
      <c r="AN3" s="156"/>
      <c r="AO3" s="156"/>
      <c r="AP3" s="150"/>
      <c r="AQ3" s="149" t="s">
        <v>52</v>
      </c>
      <c r="AR3" s="156"/>
      <c r="AS3" s="156"/>
      <c r="AT3" s="156"/>
      <c r="AU3" s="156"/>
      <c r="AV3" s="156"/>
      <c r="AW3" s="156"/>
      <c r="AX3" s="150"/>
    </row>
    <row r="4" spans="1:50" s="7" customFormat="1" ht="15.75" customHeight="1">
      <c r="A4" s="133"/>
      <c r="B4" s="157"/>
      <c r="C4" s="157" t="s">
        <v>64</v>
      </c>
      <c r="D4" s="153" t="s">
        <v>128</v>
      </c>
      <c r="E4" s="154"/>
      <c r="F4" s="154"/>
      <c r="G4" s="154"/>
      <c r="H4" s="154"/>
      <c r="I4" s="154"/>
      <c r="J4" s="155"/>
      <c r="K4" s="157" t="s">
        <v>64</v>
      </c>
      <c r="L4" s="153" t="s">
        <v>128</v>
      </c>
      <c r="M4" s="154"/>
      <c r="N4" s="154"/>
      <c r="O4" s="154"/>
      <c r="P4" s="154"/>
      <c r="Q4" s="154"/>
      <c r="R4" s="155"/>
      <c r="S4" s="157" t="s">
        <v>64</v>
      </c>
      <c r="T4" s="153" t="s">
        <v>128</v>
      </c>
      <c r="U4" s="154"/>
      <c r="V4" s="154"/>
      <c r="W4" s="154"/>
      <c r="X4" s="154"/>
      <c r="Y4" s="154"/>
      <c r="Z4" s="155"/>
      <c r="AA4" s="157" t="s">
        <v>64</v>
      </c>
      <c r="AB4" s="153" t="s">
        <v>128</v>
      </c>
      <c r="AC4" s="154"/>
      <c r="AD4" s="154"/>
      <c r="AE4" s="154"/>
      <c r="AF4" s="154"/>
      <c r="AG4" s="154"/>
      <c r="AH4" s="155"/>
      <c r="AI4" s="133" t="s">
        <v>64</v>
      </c>
      <c r="AJ4" s="149" t="s">
        <v>128</v>
      </c>
      <c r="AK4" s="156"/>
      <c r="AL4" s="156"/>
      <c r="AM4" s="156"/>
      <c r="AN4" s="156"/>
      <c r="AO4" s="156"/>
      <c r="AP4" s="150"/>
      <c r="AQ4" s="133" t="s">
        <v>64</v>
      </c>
      <c r="AR4" s="149" t="s">
        <v>128</v>
      </c>
      <c r="AS4" s="156"/>
      <c r="AT4" s="156"/>
      <c r="AU4" s="156"/>
      <c r="AV4" s="156"/>
      <c r="AW4" s="156"/>
      <c r="AX4" s="150"/>
    </row>
    <row r="5" spans="1:50" s="7" customFormat="1" ht="38.25">
      <c r="A5" s="133"/>
      <c r="B5" s="157"/>
      <c r="C5" s="157"/>
      <c r="D5" s="30">
        <v>1</v>
      </c>
      <c r="E5" s="30">
        <v>2</v>
      </c>
      <c r="F5" s="30">
        <v>3</v>
      </c>
      <c r="G5" s="30">
        <v>4</v>
      </c>
      <c r="H5" s="30">
        <v>5</v>
      </c>
      <c r="I5" s="31" t="s">
        <v>19</v>
      </c>
      <c r="J5" s="30" t="s">
        <v>195</v>
      </c>
      <c r="K5" s="157"/>
      <c r="L5" s="30">
        <v>1</v>
      </c>
      <c r="M5" s="30">
        <v>2</v>
      </c>
      <c r="N5" s="30">
        <v>3</v>
      </c>
      <c r="O5" s="30">
        <v>4</v>
      </c>
      <c r="P5" s="30">
        <v>5</v>
      </c>
      <c r="Q5" s="31" t="s">
        <v>19</v>
      </c>
      <c r="R5" s="30" t="s">
        <v>2</v>
      </c>
      <c r="S5" s="157"/>
      <c r="T5" s="30">
        <v>1</v>
      </c>
      <c r="U5" s="30">
        <v>2</v>
      </c>
      <c r="V5" s="30">
        <v>3</v>
      </c>
      <c r="W5" s="30">
        <v>4</v>
      </c>
      <c r="X5" s="30">
        <v>5</v>
      </c>
      <c r="Y5" s="31" t="s">
        <v>18</v>
      </c>
      <c r="Z5" s="30" t="s">
        <v>2</v>
      </c>
      <c r="AA5" s="157"/>
      <c r="AB5" s="30">
        <v>1</v>
      </c>
      <c r="AC5" s="30">
        <v>2</v>
      </c>
      <c r="AD5" s="30">
        <v>3</v>
      </c>
      <c r="AE5" s="30">
        <v>4</v>
      </c>
      <c r="AF5" s="30">
        <v>5</v>
      </c>
      <c r="AG5" s="31" t="s">
        <v>1</v>
      </c>
      <c r="AH5" s="30">
        <v>12</v>
      </c>
      <c r="AI5" s="133"/>
      <c r="AJ5" s="3">
        <v>1</v>
      </c>
      <c r="AK5" s="3">
        <v>2</v>
      </c>
      <c r="AL5" s="3">
        <v>3</v>
      </c>
      <c r="AM5" s="3">
        <v>4</v>
      </c>
      <c r="AN5" s="3">
        <v>5</v>
      </c>
      <c r="AO5" s="8" t="s">
        <v>1</v>
      </c>
      <c r="AP5" s="3" t="s">
        <v>2</v>
      </c>
      <c r="AQ5" s="133"/>
      <c r="AR5" s="3">
        <v>1</v>
      </c>
      <c r="AS5" s="3">
        <v>2</v>
      </c>
      <c r="AT5" s="3">
        <v>3</v>
      </c>
      <c r="AU5" s="3">
        <v>4</v>
      </c>
      <c r="AV5" s="3">
        <v>5</v>
      </c>
      <c r="AW5" s="8" t="s">
        <v>1</v>
      </c>
      <c r="AX5" s="3" t="s">
        <v>2</v>
      </c>
    </row>
    <row r="6" spans="1:50" s="7" customFormat="1">
      <c r="A6" s="36">
        <v>1</v>
      </c>
      <c r="B6" s="37" t="s">
        <v>157</v>
      </c>
      <c r="C6" s="48">
        <v>104</v>
      </c>
      <c r="D6" s="48">
        <v>103</v>
      </c>
      <c r="E6" s="48">
        <v>1</v>
      </c>
      <c r="F6" s="48"/>
      <c r="G6" s="48"/>
      <c r="H6" s="48"/>
      <c r="I6" s="48"/>
      <c r="J6" s="48"/>
      <c r="K6" s="49">
        <v>86</v>
      </c>
      <c r="L6" s="48">
        <v>86</v>
      </c>
      <c r="M6" s="48"/>
      <c r="N6" s="48"/>
      <c r="O6" s="48"/>
      <c r="P6" s="48"/>
      <c r="Q6" s="48"/>
      <c r="R6" s="48"/>
      <c r="S6" s="48">
        <v>5</v>
      </c>
      <c r="T6" s="48">
        <v>4</v>
      </c>
      <c r="U6" s="48">
        <v>1</v>
      </c>
      <c r="V6" s="48"/>
      <c r="W6" s="48"/>
      <c r="X6" s="48"/>
      <c r="Y6" s="48"/>
      <c r="Z6" s="48"/>
      <c r="AA6" s="48">
        <v>6</v>
      </c>
      <c r="AB6" s="48">
        <v>6</v>
      </c>
      <c r="AC6" s="48"/>
      <c r="AD6" s="48"/>
      <c r="AE6" s="48"/>
      <c r="AF6" s="48"/>
      <c r="AG6" s="48"/>
      <c r="AH6" s="48"/>
      <c r="AI6" s="48">
        <v>0</v>
      </c>
      <c r="AJ6" s="48">
        <v>0</v>
      </c>
      <c r="AK6" s="48"/>
      <c r="AL6" s="48"/>
      <c r="AM6" s="48"/>
      <c r="AN6" s="48"/>
      <c r="AO6" s="48"/>
      <c r="AP6" s="48"/>
      <c r="AQ6" s="48">
        <v>7</v>
      </c>
      <c r="AR6" s="48">
        <v>7</v>
      </c>
      <c r="AS6" s="48"/>
      <c r="AT6" s="48"/>
      <c r="AU6" s="48"/>
      <c r="AV6" s="48"/>
      <c r="AW6" s="48"/>
      <c r="AX6" s="48"/>
    </row>
    <row r="7" spans="1:50" s="7" customFormat="1">
      <c r="A7" s="33">
        <v>2</v>
      </c>
      <c r="B7" s="32" t="s">
        <v>158</v>
      </c>
      <c r="C7" s="48">
        <v>137</v>
      </c>
      <c r="D7" s="48">
        <v>137</v>
      </c>
      <c r="E7" s="48"/>
      <c r="F7" s="48"/>
      <c r="G7" s="48"/>
      <c r="H7" s="48"/>
      <c r="I7" s="48"/>
      <c r="J7" s="48"/>
      <c r="K7" s="49">
        <v>103</v>
      </c>
      <c r="L7" s="48">
        <v>103</v>
      </c>
      <c r="M7" s="48"/>
      <c r="N7" s="48"/>
      <c r="O7" s="48"/>
      <c r="P7" s="48"/>
      <c r="Q7" s="48"/>
      <c r="R7" s="48"/>
      <c r="S7" s="48">
        <v>10</v>
      </c>
      <c r="T7" s="48">
        <v>10</v>
      </c>
      <c r="U7" s="48"/>
      <c r="V7" s="48"/>
      <c r="W7" s="48"/>
      <c r="X7" s="48"/>
      <c r="Y7" s="48"/>
      <c r="Z7" s="48"/>
      <c r="AA7" s="48">
        <v>16</v>
      </c>
      <c r="AB7" s="48">
        <v>16</v>
      </c>
      <c r="AC7" s="48"/>
      <c r="AD7" s="48"/>
      <c r="AE7" s="48"/>
      <c r="AF7" s="48"/>
      <c r="AG7" s="48"/>
      <c r="AH7" s="48"/>
      <c r="AI7" s="48">
        <v>1</v>
      </c>
      <c r="AJ7" s="48">
        <v>1</v>
      </c>
      <c r="AK7" s="48"/>
      <c r="AL7" s="48"/>
      <c r="AM7" s="48"/>
      <c r="AN7" s="48"/>
      <c r="AO7" s="48"/>
      <c r="AP7" s="48"/>
      <c r="AQ7" s="48">
        <v>7</v>
      </c>
      <c r="AR7" s="48">
        <v>7</v>
      </c>
      <c r="AS7" s="48"/>
      <c r="AT7" s="48"/>
      <c r="AU7" s="48"/>
      <c r="AV7" s="48"/>
      <c r="AW7" s="48"/>
      <c r="AX7" s="48"/>
    </row>
    <row r="8" spans="1:50" s="7" customFormat="1">
      <c r="A8" s="35">
        <v>3</v>
      </c>
      <c r="B8" s="34" t="s">
        <v>159</v>
      </c>
      <c r="C8" s="48">
        <v>122</v>
      </c>
      <c r="D8" s="48">
        <v>122</v>
      </c>
      <c r="E8" s="48"/>
      <c r="F8" s="48"/>
      <c r="G8" s="48"/>
      <c r="H8" s="48"/>
      <c r="I8" s="48"/>
      <c r="J8" s="48"/>
      <c r="K8" s="49">
        <v>100</v>
      </c>
      <c r="L8" s="48">
        <v>100</v>
      </c>
      <c r="M8" s="48"/>
      <c r="N8" s="48"/>
      <c r="O8" s="48"/>
      <c r="P8" s="48"/>
      <c r="Q8" s="48"/>
      <c r="R8" s="48"/>
      <c r="S8" s="48">
        <v>7</v>
      </c>
      <c r="T8" s="48">
        <v>7</v>
      </c>
      <c r="U8" s="48"/>
      <c r="V8" s="48"/>
      <c r="W8" s="48"/>
      <c r="X8" s="48"/>
      <c r="Y8" s="48"/>
      <c r="Z8" s="48"/>
      <c r="AA8" s="48">
        <v>12</v>
      </c>
      <c r="AB8" s="48">
        <v>12</v>
      </c>
      <c r="AC8" s="48"/>
      <c r="AD8" s="48"/>
      <c r="AE8" s="48"/>
      <c r="AF8" s="48"/>
      <c r="AG8" s="48"/>
      <c r="AH8" s="48"/>
      <c r="AI8" s="48">
        <v>2</v>
      </c>
      <c r="AJ8" s="48">
        <v>2</v>
      </c>
      <c r="AK8" s="48"/>
      <c r="AL8" s="48"/>
      <c r="AM8" s="48"/>
      <c r="AN8" s="48"/>
      <c r="AO8" s="48"/>
      <c r="AP8" s="48"/>
      <c r="AQ8" s="48">
        <v>1</v>
      </c>
      <c r="AR8" s="48">
        <v>1</v>
      </c>
      <c r="AS8" s="48"/>
      <c r="AT8" s="48"/>
      <c r="AU8" s="48"/>
      <c r="AV8" s="48"/>
      <c r="AW8" s="48"/>
      <c r="AX8" s="48"/>
    </row>
    <row r="9" spans="1:50">
      <c r="A9" s="39">
        <v>4</v>
      </c>
      <c r="B9" s="38" t="s">
        <v>160</v>
      </c>
      <c r="C9" s="49">
        <v>213</v>
      </c>
      <c r="D9" s="49">
        <v>211</v>
      </c>
      <c r="E9" s="49">
        <v>2</v>
      </c>
      <c r="F9" s="49"/>
      <c r="G9" s="49"/>
      <c r="H9" s="49"/>
      <c r="I9" s="49"/>
      <c r="J9" s="49"/>
      <c r="K9" s="49">
        <v>182</v>
      </c>
      <c r="L9" s="49">
        <v>181</v>
      </c>
      <c r="M9" s="49">
        <v>1</v>
      </c>
      <c r="N9" s="49"/>
      <c r="O9" s="49"/>
      <c r="P9" s="49"/>
      <c r="Q9" s="49"/>
      <c r="R9" s="49"/>
      <c r="S9" s="49">
        <v>6</v>
      </c>
      <c r="T9" s="49">
        <v>6</v>
      </c>
      <c r="U9" s="49"/>
      <c r="V9" s="49"/>
      <c r="W9" s="49"/>
      <c r="X9" s="49"/>
      <c r="Y9" s="49"/>
      <c r="Z9" s="49"/>
      <c r="AA9" s="49">
        <v>21</v>
      </c>
      <c r="AB9" s="49">
        <v>20</v>
      </c>
      <c r="AC9" s="49">
        <v>1</v>
      </c>
      <c r="AD9" s="49"/>
      <c r="AE9" s="49"/>
      <c r="AF9" s="49"/>
      <c r="AG9" s="49"/>
      <c r="AH9" s="49"/>
      <c r="AI9" s="49">
        <v>0</v>
      </c>
      <c r="AJ9" s="49">
        <v>0</v>
      </c>
      <c r="AK9" s="48"/>
      <c r="AL9" s="48"/>
      <c r="AM9" s="48"/>
      <c r="AN9" s="48"/>
      <c r="AO9" s="48"/>
      <c r="AP9" s="48"/>
      <c r="AQ9" s="49">
        <v>4</v>
      </c>
      <c r="AR9" s="49">
        <v>4</v>
      </c>
      <c r="AS9" s="48"/>
      <c r="AT9" s="48"/>
      <c r="AU9" s="48"/>
      <c r="AV9" s="48"/>
      <c r="AW9" s="48"/>
      <c r="AX9" s="48"/>
    </row>
    <row r="10" spans="1:50">
      <c r="A10" s="41">
        <v>5</v>
      </c>
      <c r="B10" s="40" t="s">
        <v>161</v>
      </c>
      <c r="C10" s="49">
        <v>314</v>
      </c>
      <c r="D10" s="49">
        <v>305</v>
      </c>
      <c r="E10" s="49">
        <v>8</v>
      </c>
      <c r="F10" s="49">
        <v>0</v>
      </c>
      <c r="G10" s="49">
        <v>1</v>
      </c>
      <c r="H10" s="49"/>
      <c r="I10" s="49"/>
      <c r="J10" s="49"/>
      <c r="K10" s="49">
        <v>274</v>
      </c>
      <c r="L10" s="49">
        <v>265</v>
      </c>
      <c r="M10" s="49">
        <v>8</v>
      </c>
      <c r="N10" s="49">
        <v>0</v>
      </c>
      <c r="O10" s="49">
        <v>1</v>
      </c>
      <c r="P10" s="49"/>
      <c r="Q10" s="49"/>
      <c r="R10" s="49"/>
      <c r="S10" s="49">
        <v>13</v>
      </c>
      <c r="T10" s="49">
        <v>13</v>
      </c>
      <c r="U10" s="49"/>
      <c r="V10" s="49"/>
      <c r="W10" s="49"/>
      <c r="X10" s="49"/>
      <c r="Y10" s="49"/>
      <c r="Z10" s="49"/>
      <c r="AA10" s="49">
        <v>16</v>
      </c>
      <c r="AB10" s="49">
        <v>16</v>
      </c>
      <c r="AC10" s="49"/>
      <c r="AD10" s="49"/>
      <c r="AE10" s="49"/>
      <c r="AF10" s="49"/>
      <c r="AG10" s="49"/>
      <c r="AH10" s="49"/>
      <c r="AI10" s="49">
        <v>2</v>
      </c>
      <c r="AJ10" s="49">
        <v>2</v>
      </c>
      <c r="AK10" s="48"/>
      <c r="AL10" s="48"/>
      <c r="AM10" s="48"/>
      <c r="AN10" s="48"/>
      <c r="AO10" s="48"/>
      <c r="AP10" s="48"/>
      <c r="AQ10" s="49">
        <v>9</v>
      </c>
      <c r="AR10" s="49">
        <v>9</v>
      </c>
      <c r="AS10" s="48"/>
      <c r="AT10" s="48"/>
      <c r="AU10" s="48"/>
      <c r="AV10" s="48"/>
      <c r="AW10" s="48"/>
      <c r="AX10" s="48"/>
    </row>
    <row r="11" spans="1:50">
      <c r="A11" s="3">
        <v>6</v>
      </c>
      <c r="B11" s="25" t="s">
        <v>162</v>
      </c>
      <c r="C11" s="88">
        <v>210</v>
      </c>
      <c r="D11" s="3">
        <v>206</v>
      </c>
      <c r="E11" s="3">
        <v>4</v>
      </c>
      <c r="F11" s="3"/>
      <c r="G11" s="3"/>
      <c r="H11" s="3"/>
      <c r="I11" s="3"/>
      <c r="J11" s="93"/>
      <c r="K11" s="90">
        <v>199</v>
      </c>
      <c r="L11" s="104">
        <v>195</v>
      </c>
      <c r="M11" s="104">
        <v>4</v>
      </c>
      <c r="N11" s="104"/>
      <c r="O11" s="104"/>
      <c r="P11" s="104"/>
      <c r="Q11" s="104"/>
      <c r="R11" s="89"/>
      <c r="S11" s="90">
        <v>3</v>
      </c>
      <c r="T11" s="104">
        <v>3</v>
      </c>
      <c r="U11" s="104"/>
      <c r="V11" s="104"/>
      <c r="W11" s="104"/>
      <c r="X11" s="104"/>
      <c r="Y11" s="104"/>
      <c r="Z11" s="89"/>
      <c r="AA11" s="90"/>
      <c r="AB11" s="104"/>
      <c r="AC11" s="104"/>
      <c r="AD11" s="104"/>
      <c r="AE11" s="104"/>
      <c r="AF11" s="104"/>
      <c r="AG11" s="104"/>
      <c r="AH11" s="89"/>
      <c r="AI11" s="90"/>
      <c r="AJ11" s="104"/>
      <c r="AK11" s="3"/>
      <c r="AL11" s="3"/>
      <c r="AM11" s="3"/>
      <c r="AN11" s="3"/>
      <c r="AO11" s="3"/>
      <c r="AP11" s="93"/>
      <c r="AQ11" s="90">
        <v>8</v>
      </c>
      <c r="AR11" s="104">
        <v>8</v>
      </c>
      <c r="AS11" s="3"/>
      <c r="AT11" s="3"/>
      <c r="AU11" s="3"/>
      <c r="AV11" s="3"/>
      <c r="AW11" s="3"/>
      <c r="AX11" s="93"/>
    </row>
    <row r="12" spans="1:50">
      <c r="A12" s="3">
        <v>7</v>
      </c>
      <c r="B12" s="25" t="s">
        <v>163</v>
      </c>
      <c r="C12" s="49">
        <v>383</v>
      </c>
      <c r="D12" s="49">
        <v>381</v>
      </c>
      <c r="E12" s="49">
        <v>2</v>
      </c>
      <c r="F12" s="49"/>
      <c r="G12" s="49"/>
      <c r="H12" s="49"/>
      <c r="I12" s="49"/>
      <c r="J12" s="49"/>
      <c r="K12" s="49">
        <v>374</v>
      </c>
      <c r="L12" s="49">
        <v>372</v>
      </c>
      <c r="M12" s="49">
        <v>2</v>
      </c>
      <c r="N12" s="49"/>
      <c r="O12" s="49"/>
      <c r="P12" s="49"/>
      <c r="Q12" s="49"/>
      <c r="R12" s="49"/>
      <c r="S12" s="49">
        <v>4</v>
      </c>
      <c r="T12" s="49">
        <v>4</v>
      </c>
      <c r="U12" s="49"/>
      <c r="V12" s="49"/>
      <c r="W12" s="49"/>
      <c r="X12" s="49"/>
      <c r="Y12" s="49"/>
      <c r="Z12" s="49"/>
      <c r="AA12" s="49">
        <v>0</v>
      </c>
      <c r="AB12" s="49">
        <v>0</v>
      </c>
      <c r="AC12" s="49"/>
      <c r="AD12" s="49"/>
      <c r="AE12" s="49"/>
      <c r="AF12" s="49"/>
      <c r="AG12" s="49"/>
      <c r="AH12" s="49"/>
      <c r="AI12" s="49">
        <v>0</v>
      </c>
      <c r="AJ12" s="49">
        <v>0</v>
      </c>
      <c r="AK12" s="48"/>
      <c r="AL12" s="48"/>
      <c r="AM12" s="48"/>
      <c r="AN12" s="48"/>
      <c r="AO12" s="48"/>
      <c r="AP12" s="48"/>
      <c r="AQ12" s="49">
        <v>5</v>
      </c>
      <c r="AR12" s="49">
        <v>5</v>
      </c>
      <c r="AS12" s="48"/>
      <c r="AT12" s="48"/>
      <c r="AU12" s="48"/>
      <c r="AV12" s="48"/>
      <c r="AW12" s="48"/>
      <c r="AX12" s="48"/>
    </row>
    <row r="13" spans="1:50">
      <c r="A13" s="3">
        <v>8</v>
      </c>
      <c r="B13" s="25" t="s">
        <v>164</v>
      </c>
      <c r="C13" s="49">
        <v>232</v>
      </c>
      <c r="D13" s="49">
        <v>230</v>
      </c>
      <c r="E13" s="49">
        <v>2</v>
      </c>
      <c r="F13" s="49"/>
      <c r="G13" s="49"/>
      <c r="H13" s="49"/>
      <c r="I13" s="49"/>
      <c r="J13" s="49"/>
      <c r="K13" s="49">
        <v>223</v>
      </c>
      <c r="L13" s="49">
        <v>221</v>
      </c>
      <c r="M13" s="49">
        <v>2</v>
      </c>
      <c r="N13" s="49"/>
      <c r="O13" s="49"/>
      <c r="P13" s="49"/>
      <c r="Q13" s="49"/>
      <c r="R13" s="49"/>
      <c r="S13" s="49">
        <v>6</v>
      </c>
      <c r="T13" s="49">
        <v>6</v>
      </c>
      <c r="U13" s="49"/>
      <c r="V13" s="49"/>
      <c r="W13" s="49"/>
      <c r="X13" s="49"/>
      <c r="Y13" s="49"/>
      <c r="Z13" s="49"/>
      <c r="AA13" s="49">
        <v>0</v>
      </c>
      <c r="AB13" s="49">
        <v>0</v>
      </c>
      <c r="AC13" s="49"/>
      <c r="AD13" s="49"/>
      <c r="AE13" s="49"/>
      <c r="AF13" s="49"/>
      <c r="AG13" s="49"/>
      <c r="AH13" s="49"/>
      <c r="AI13" s="49">
        <v>0</v>
      </c>
      <c r="AJ13" s="49">
        <v>0</v>
      </c>
      <c r="AK13" s="48"/>
      <c r="AL13" s="48"/>
      <c r="AM13" s="48"/>
      <c r="AN13" s="48"/>
      <c r="AO13" s="48"/>
      <c r="AP13" s="48"/>
      <c r="AQ13" s="49">
        <v>3</v>
      </c>
      <c r="AR13" s="49">
        <v>3</v>
      </c>
      <c r="AS13" s="48"/>
      <c r="AT13" s="48"/>
      <c r="AU13" s="48"/>
      <c r="AV13" s="48"/>
      <c r="AW13" s="48"/>
      <c r="AX13" s="116"/>
    </row>
    <row r="14" spans="1:50">
      <c r="A14" s="3">
        <v>9</v>
      </c>
      <c r="B14" s="25" t="s">
        <v>165</v>
      </c>
      <c r="C14" s="49">
        <v>207</v>
      </c>
      <c r="D14" s="49">
        <v>206</v>
      </c>
      <c r="E14" s="49">
        <v>1</v>
      </c>
      <c r="F14" s="49"/>
      <c r="G14" s="49"/>
      <c r="H14" s="49"/>
      <c r="I14" s="49"/>
      <c r="J14" s="49"/>
      <c r="K14" s="49">
        <v>179</v>
      </c>
      <c r="L14" s="49">
        <v>178</v>
      </c>
      <c r="M14" s="49">
        <v>1</v>
      </c>
      <c r="N14" s="49"/>
      <c r="O14" s="49"/>
      <c r="P14" s="49"/>
      <c r="Q14" s="49"/>
      <c r="R14" s="49"/>
      <c r="S14" s="49">
        <v>7</v>
      </c>
      <c r="T14" s="49">
        <v>7</v>
      </c>
      <c r="U14" s="49"/>
      <c r="V14" s="49"/>
      <c r="W14" s="49"/>
      <c r="X14" s="49"/>
      <c r="Y14" s="49"/>
      <c r="Z14" s="49"/>
      <c r="AA14" s="49">
        <v>18</v>
      </c>
      <c r="AB14" s="49">
        <v>18</v>
      </c>
      <c r="AC14" s="49"/>
      <c r="AD14" s="49"/>
      <c r="AE14" s="49"/>
      <c r="AF14" s="49"/>
      <c r="AG14" s="49"/>
      <c r="AH14" s="49"/>
      <c r="AI14" s="49">
        <v>0</v>
      </c>
      <c r="AJ14" s="49">
        <v>0</v>
      </c>
      <c r="AK14" s="48"/>
      <c r="AL14" s="48"/>
      <c r="AM14" s="48"/>
      <c r="AN14" s="48"/>
      <c r="AO14" s="48"/>
      <c r="AP14" s="48"/>
      <c r="AQ14" s="49">
        <v>3</v>
      </c>
      <c r="AR14" s="49">
        <v>3</v>
      </c>
      <c r="AS14" s="48"/>
      <c r="AT14" s="48"/>
      <c r="AU14" s="48"/>
      <c r="AV14" s="48"/>
      <c r="AW14" s="48"/>
      <c r="AX14" s="48"/>
    </row>
    <row r="15" spans="1:50">
      <c r="A15" s="3">
        <v>10</v>
      </c>
      <c r="B15" s="25" t="s">
        <v>166</v>
      </c>
      <c r="C15" s="49">
        <v>354</v>
      </c>
      <c r="D15" s="49">
        <v>352</v>
      </c>
      <c r="E15" s="49">
        <v>2</v>
      </c>
      <c r="F15" s="49"/>
      <c r="G15" s="49"/>
      <c r="H15" s="49"/>
      <c r="I15" s="49"/>
      <c r="J15" s="49"/>
      <c r="K15" s="49">
        <v>299</v>
      </c>
      <c r="L15" s="49">
        <v>298</v>
      </c>
      <c r="M15" s="49">
        <v>1</v>
      </c>
      <c r="N15" s="49"/>
      <c r="O15" s="49"/>
      <c r="P15" s="49"/>
      <c r="Q15" s="49"/>
      <c r="R15" s="49"/>
      <c r="S15" s="49">
        <v>19</v>
      </c>
      <c r="T15" s="49">
        <v>18</v>
      </c>
      <c r="U15" s="49">
        <v>1</v>
      </c>
      <c r="V15" s="49"/>
      <c r="W15" s="49"/>
      <c r="X15" s="49"/>
      <c r="Y15" s="49"/>
      <c r="Z15" s="49"/>
      <c r="AA15" s="49">
        <v>33</v>
      </c>
      <c r="AB15" s="49">
        <v>33</v>
      </c>
      <c r="AC15" s="49"/>
      <c r="AD15" s="49"/>
      <c r="AE15" s="49"/>
      <c r="AF15" s="49"/>
      <c r="AG15" s="49"/>
      <c r="AH15" s="49"/>
      <c r="AI15" s="49">
        <v>2</v>
      </c>
      <c r="AJ15" s="49">
        <v>2</v>
      </c>
      <c r="AK15" s="48"/>
      <c r="AL15" s="48"/>
      <c r="AM15" s="48"/>
      <c r="AN15" s="48"/>
      <c r="AO15" s="48"/>
      <c r="AP15" s="48"/>
      <c r="AQ15" s="49">
        <v>1</v>
      </c>
      <c r="AR15" s="49">
        <v>1</v>
      </c>
      <c r="AS15" s="48"/>
      <c r="AT15" s="48"/>
      <c r="AU15" s="48"/>
      <c r="AV15" s="48"/>
      <c r="AW15" s="48"/>
      <c r="AX15" s="48"/>
    </row>
    <row r="16" spans="1:50">
      <c r="A16" s="3">
        <v>11</v>
      </c>
      <c r="B16" s="25" t="s">
        <v>167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8"/>
      <c r="AL16" s="48"/>
      <c r="AM16" s="48"/>
      <c r="AN16" s="48"/>
      <c r="AO16" s="48"/>
      <c r="AP16" s="48"/>
      <c r="AQ16" s="49"/>
      <c r="AR16" s="49"/>
      <c r="AS16" s="48"/>
      <c r="AT16" s="48"/>
      <c r="AU16" s="48"/>
      <c r="AV16" s="48"/>
      <c r="AW16" s="48"/>
      <c r="AX16" s="48"/>
    </row>
    <row r="17" spans="1:50">
      <c r="A17" s="3">
        <v>12</v>
      </c>
      <c r="B17" s="25" t="s">
        <v>168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8"/>
      <c r="AL17" s="48"/>
      <c r="AM17" s="48"/>
      <c r="AN17" s="48"/>
      <c r="AO17" s="48"/>
      <c r="AP17" s="48"/>
      <c r="AQ17" s="49"/>
      <c r="AR17" s="49"/>
      <c r="AS17" s="48"/>
      <c r="AT17" s="48"/>
      <c r="AU17" s="48"/>
      <c r="AV17" s="48"/>
      <c r="AW17" s="48"/>
      <c r="AX17" s="48"/>
    </row>
    <row r="18" spans="1:50">
      <c r="A18" s="134" t="s">
        <v>22</v>
      </c>
      <c r="B18" s="134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8"/>
      <c r="AL18" s="48"/>
      <c r="AM18" s="48"/>
      <c r="AN18" s="48"/>
      <c r="AO18" s="48"/>
      <c r="AP18" s="48"/>
      <c r="AQ18" s="49"/>
      <c r="AR18" s="49"/>
      <c r="AS18" s="48"/>
      <c r="AT18" s="48"/>
      <c r="AU18" s="48"/>
      <c r="AV18" s="48"/>
      <c r="AW18" s="48"/>
      <c r="AX18" s="48"/>
    </row>
    <row r="26" spans="1:50" ht="28.5" customHeight="1"/>
  </sheetData>
  <mergeCells count="23">
    <mergeCell ref="C4:C5"/>
    <mergeCell ref="K4:K5"/>
    <mergeCell ref="S4:S5"/>
    <mergeCell ref="A1:AV1"/>
    <mergeCell ref="A3:A5"/>
    <mergeCell ref="B3:B5"/>
    <mergeCell ref="AS2:AX2"/>
    <mergeCell ref="A18:B18"/>
    <mergeCell ref="AA3:AH3"/>
    <mergeCell ref="AB4:AH4"/>
    <mergeCell ref="AQ3:AX3"/>
    <mergeCell ref="AR4:AX4"/>
    <mergeCell ref="AI3:AP3"/>
    <mergeCell ref="AJ4:AP4"/>
    <mergeCell ref="C3:J3"/>
    <mergeCell ref="D4:J4"/>
    <mergeCell ref="K3:R3"/>
    <mergeCell ref="L4:R4"/>
    <mergeCell ref="T4:Z4"/>
    <mergeCell ref="S3:Z3"/>
    <mergeCell ref="AA4:AA5"/>
    <mergeCell ref="AI4:AI5"/>
    <mergeCell ref="AQ4:AQ5"/>
  </mergeCells>
  <pageMargins left="0.7" right="0.7" top="0.75" bottom="0.75" header="0.3" footer="0.3"/>
  <pageSetup paperSize="9"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23"/>
  <sheetViews>
    <sheetView workbookViewId="0">
      <selection activeCell="N21" sqref="N21"/>
    </sheetView>
  </sheetViews>
  <sheetFormatPr defaultRowHeight="15.75"/>
  <cols>
    <col min="1" max="1" width="4" style="1" customWidth="1"/>
    <col min="2" max="2" width="11.5703125" style="1" customWidth="1"/>
    <col min="3" max="3" width="12.7109375" style="1" customWidth="1"/>
    <col min="4" max="4" width="16.5703125" style="1" customWidth="1"/>
    <col min="5" max="5" width="13.42578125" style="1" customWidth="1"/>
    <col min="6" max="6" width="11.140625" style="1" customWidth="1"/>
    <col min="7" max="7" width="14.85546875" style="1" customWidth="1"/>
    <col min="8" max="8" width="11.42578125" style="1" customWidth="1"/>
    <col min="9" max="9" width="13.140625" style="1" customWidth="1"/>
    <col min="10" max="11" width="15.42578125" style="1" customWidth="1"/>
    <col min="12" max="16384" width="9.140625" style="1"/>
  </cols>
  <sheetData>
    <row r="1" spans="1:11" ht="30" customHeight="1">
      <c r="A1" s="126" t="s">
        <v>200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11">
      <c r="I2" s="162" t="s">
        <v>144</v>
      </c>
      <c r="J2" s="162"/>
      <c r="K2" s="162"/>
    </row>
    <row r="3" spans="1:11">
      <c r="A3" s="133" t="s">
        <v>0</v>
      </c>
      <c r="B3" s="133" t="s">
        <v>21</v>
      </c>
      <c r="C3" s="133" t="s">
        <v>134</v>
      </c>
      <c r="D3" s="133" t="s">
        <v>135</v>
      </c>
      <c r="E3" s="133"/>
      <c r="F3" s="133" t="s">
        <v>138</v>
      </c>
      <c r="G3" s="133" t="s">
        <v>139</v>
      </c>
      <c r="H3" s="133" t="s">
        <v>140</v>
      </c>
      <c r="I3" s="133" t="s">
        <v>141</v>
      </c>
      <c r="J3" s="133" t="s">
        <v>135</v>
      </c>
      <c r="K3" s="133"/>
    </row>
    <row r="4" spans="1:11" ht="63">
      <c r="A4" s="133"/>
      <c r="B4" s="133"/>
      <c r="C4" s="133"/>
      <c r="D4" s="3" t="s">
        <v>136</v>
      </c>
      <c r="E4" s="3" t="s">
        <v>137</v>
      </c>
      <c r="F4" s="133"/>
      <c r="G4" s="133"/>
      <c r="H4" s="133"/>
      <c r="I4" s="133"/>
      <c r="J4" s="3" t="s">
        <v>142</v>
      </c>
      <c r="K4" s="3" t="s">
        <v>143</v>
      </c>
    </row>
    <row r="5" spans="1:11">
      <c r="A5" s="25">
        <v>1</v>
      </c>
      <c r="B5" s="68" t="s">
        <v>157</v>
      </c>
      <c r="C5" s="69"/>
      <c r="D5" s="69"/>
      <c r="E5" s="69"/>
      <c r="F5" s="69"/>
      <c r="G5" s="70"/>
      <c r="H5" s="70"/>
      <c r="I5" s="70"/>
      <c r="J5" s="70"/>
      <c r="K5" s="70"/>
    </row>
    <row r="6" spans="1:11">
      <c r="A6" s="25">
        <v>2</v>
      </c>
      <c r="B6" s="68" t="s">
        <v>158</v>
      </c>
      <c r="C6" s="69"/>
      <c r="D6" s="69"/>
      <c r="E6" s="69"/>
      <c r="F6" s="69"/>
      <c r="G6" s="70"/>
      <c r="H6" s="70"/>
      <c r="I6" s="70"/>
      <c r="J6" s="70"/>
      <c r="K6" s="70"/>
    </row>
    <row r="7" spans="1:11">
      <c r="A7" s="25">
        <v>3</v>
      </c>
      <c r="B7" s="68" t="s">
        <v>159</v>
      </c>
      <c r="C7" s="69">
        <v>130</v>
      </c>
      <c r="D7" s="69">
        <v>130</v>
      </c>
      <c r="E7" s="69">
        <v>104</v>
      </c>
      <c r="F7" s="69">
        <v>104</v>
      </c>
      <c r="G7" s="70">
        <v>122</v>
      </c>
      <c r="H7" s="70">
        <v>122</v>
      </c>
      <c r="I7" s="70">
        <v>552</v>
      </c>
      <c r="J7" s="70">
        <v>336</v>
      </c>
      <c r="K7" s="70">
        <v>336</v>
      </c>
    </row>
    <row r="8" spans="1:11">
      <c r="A8" s="25">
        <v>4</v>
      </c>
      <c r="B8" s="68" t="s">
        <v>160</v>
      </c>
      <c r="C8" s="69">
        <v>233</v>
      </c>
      <c r="D8" s="69">
        <v>233</v>
      </c>
      <c r="E8" s="69">
        <v>185</v>
      </c>
      <c r="F8" s="69">
        <v>185</v>
      </c>
      <c r="G8" s="70">
        <v>213</v>
      </c>
      <c r="H8" s="70">
        <v>211</v>
      </c>
      <c r="I8" s="70">
        <v>950</v>
      </c>
      <c r="J8" s="70">
        <v>756</v>
      </c>
      <c r="K8" s="70">
        <v>756</v>
      </c>
    </row>
    <row r="9" spans="1:11">
      <c r="A9" s="25">
        <v>5</v>
      </c>
      <c r="B9" s="25" t="s">
        <v>161</v>
      </c>
      <c r="C9" s="71">
        <v>463</v>
      </c>
      <c r="D9" s="71">
        <v>463</v>
      </c>
      <c r="E9" s="71">
        <v>297</v>
      </c>
      <c r="F9" s="71">
        <v>297</v>
      </c>
      <c r="G9" s="52">
        <v>327</v>
      </c>
      <c r="H9" s="52">
        <v>327</v>
      </c>
      <c r="I9" s="52">
        <v>1256</v>
      </c>
      <c r="J9" s="52">
        <v>911</v>
      </c>
      <c r="K9" s="52">
        <v>911</v>
      </c>
    </row>
    <row r="10" spans="1:11">
      <c r="A10" s="25">
        <v>6</v>
      </c>
      <c r="B10" s="25" t="s">
        <v>162</v>
      </c>
      <c r="C10" s="103">
        <v>559</v>
      </c>
      <c r="D10" s="100">
        <v>559</v>
      </c>
      <c r="E10" s="102">
        <v>209</v>
      </c>
      <c r="F10" s="103">
        <v>209</v>
      </c>
      <c r="G10" s="87">
        <v>210</v>
      </c>
      <c r="H10" s="87">
        <v>206</v>
      </c>
      <c r="I10" s="87">
        <v>310</v>
      </c>
      <c r="J10" s="88">
        <v>200</v>
      </c>
      <c r="K10" s="93">
        <v>200</v>
      </c>
    </row>
    <row r="11" spans="1:11">
      <c r="A11" s="25">
        <v>7</v>
      </c>
      <c r="B11" s="25" t="s">
        <v>163</v>
      </c>
      <c r="C11" s="72">
        <v>528</v>
      </c>
      <c r="D11" s="72">
        <v>528</v>
      </c>
      <c r="E11" s="72">
        <v>381</v>
      </c>
      <c r="F11" s="72">
        <v>381</v>
      </c>
      <c r="G11" s="48">
        <v>383</v>
      </c>
      <c r="H11" s="48">
        <v>381</v>
      </c>
      <c r="I11" s="48">
        <v>1191</v>
      </c>
      <c r="J11" s="48">
        <v>549</v>
      </c>
      <c r="K11" s="48">
        <v>549</v>
      </c>
    </row>
    <row r="12" spans="1:11">
      <c r="A12" s="25">
        <v>8</v>
      </c>
      <c r="B12" s="25" t="s">
        <v>164</v>
      </c>
      <c r="C12" s="72">
        <v>304</v>
      </c>
      <c r="D12" s="72">
        <v>304</v>
      </c>
      <c r="E12" s="72">
        <v>228</v>
      </c>
      <c r="F12" s="72">
        <v>228</v>
      </c>
      <c r="G12" s="48">
        <v>232</v>
      </c>
      <c r="H12" s="48">
        <v>230</v>
      </c>
      <c r="I12" s="48">
        <v>1140</v>
      </c>
      <c r="J12" s="48">
        <v>481</v>
      </c>
      <c r="K12" s="48">
        <v>481</v>
      </c>
    </row>
    <row r="13" spans="1:11">
      <c r="A13" s="25">
        <v>9</v>
      </c>
      <c r="B13" s="25" t="s">
        <v>165</v>
      </c>
      <c r="C13" s="72">
        <v>277</v>
      </c>
      <c r="D13" s="72">
        <v>277</v>
      </c>
      <c r="E13" s="72">
        <v>195</v>
      </c>
      <c r="F13" s="72">
        <v>195</v>
      </c>
      <c r="G13" s="48">
        <v>207</v>
      </c>
      <c r="H13" s="48">
        <v>206</v>
      </c>
      <c r="I13" s="48">
        <v>1170</v>
      </c>
      <c r="J13" s="48">
        <v>814</v>
      </c>
      <c r="K13" s="48">
        <v>814</v>
      </c>
    </row>
    <row r="14" spans="1:11">
      <c r="A14" s="25">
        <v>10</v>
      </c>
      <c r="B14" s="25" t="s">
        <v>166</v>
      </c>
      <c r="C14" s="72">
        <v>396</v>
      </c>
      <c r="D14" s="72">
        <v>396</v>
      </c>
      <c r="E14" s="72">
        <v>311</v>
      </c>
      <c r="F14" s="72">
        <v>311</v>
      </c>
      <c r="G14" s="48">
        <v>354</v>
      </c>
      <c r="H14" s="48">
        <v>352</v>
      </c>
      <c r="I14" s="48">
        <v>1866</v>
      </c>
      <c r="J14" s="48">
        <v>1262</v>
      </c>
      <c r="K14" s="48">
        <v>1262</v>
      </c>
    </row>
    <row r="15" spans="1:11">
      <c r="A15" s="25">
        <v>11</v>
      </c>
      <c r="B15" s="25" t="s">
        <v>167</v>
      </c>
      <c r="C15" s="72"/>
      <c r="D15" s="72"/>
      <c r="E15" s="72"/>
      <c r="F15" s="72"/>
      <c r="G15" s="48"/>
      <c r="H15" s="48"/>
      <c r="I15" s="48"/>
      <c r="J15" s="48"/>
      <c r="K15" s="48"/>
    </row>
    <row r="16" spans="1:11">
      <c r="A16" s="25">
        <v>12</v>
      </c>
      <c r="B16" s="25" t="s">
        <v>168</v>
      </c>
      <c r="C16" s="72"/>
      <c r="D16" s="72"/>
      <c r="E16" s="72"/>
      <c r="F16" s="72"/>
      <c r="G16" s="48"/>
      <c r="H16" s="48"/>
      <c r="I16" s="48"/>
      <c r="J16" s="48"/>
      <c r="K16" s="48"/>
    </row>
    <row r="17" spans="1:11">
      <c r="A17" s="160" t="s">
        <v>22</v>
      </c>
      <c r="B17" s="161"/>
      <c r="C17" s="72"/>
      <c r="D17" s="72"/>
      <c r="E17" s="72"/>
      <c r="F17" s="72"/>
      <c r="G17" s="53"/>
      <c r="H17" s="53"/>
      <c r="I17" s="53"/>
      <c r="J17" s="53"/>
      <c r="K17" s="53"/>
    </row>
    <row r="23" spans="1:11" ht="27" customHeight="1"/>
  </sheetData>
  <mergeCells count="12">
    <mergeCell ref="H3:H4"/>
    <mergeCell ref="I3:I4"/>
    <mergeCell ref="A1:K1"/>
    <mergeCell ref="I2:K2"/>
    <mergeCell ref="J3:K3"/>
    <mergeCell ref="D3:E3"/>
    <mergeCell ref="A3:A4"/>
    <mergeCell ref="A17:B17"/>
    <mergeCell ref="B3:B4"/>
    <mergeCell ref="C3:C4"/>
    <mergeCell ref="F3:F4"/>
    <mergeCell ref="G3:G4"/>
  </mergeCells>
  <pageMargins left="0.7" right="0.7" top="0.75" bottom="0.75" header="0.3" footer="0.3"/>
  <pageSetup paperSize="9" scale="93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4"/>
  <sheetViews>
    <sheetView zoomScale="73" zoomScaleNormal="73" workbookViewId="0">
      <selection activeCell="Q3" sqref="Q3"/>
    </sheetView>
  </sheetViews>
  <sheetFormatPr defaultRowHeight="15"/>
  <sheetData>
    <row r="1" spans="1:12" ht="18.75">
      <c r="A1" s="16"/>
      <c r="B1" s="121" t="s">
        <v>170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2" spans="1:12" ht="18.75">
      <c r="A2" s="16"/>
      <c r="B2" s="16"/>
      <c r="C2" s="16"/>
      <c r="D2" s="16"/>
      <c r="E2" s="16"/>
      <c r="F2" s="16"/>
      <c r="G2" s="16"/>
      <c r="H2" s="16"/>
      <c r="I2" s="16"/>
      <c r="J2" s="42" t="s">
        <v>201</v>
      </c>
      <c r="K2" s="163" t="s">
        <v>214</v>
      </c>
      <c r="L2" s="163"/>
    </row>
    <row r="3" spans="1:12" ht="225">
      <c r="A3" s="43" t="s">
        <v>0</v>
      </c>
      <c r="B3" s="43" t="s">
        <v>171</v>
      </c>
      <c r="C3" s="44" t="s">
        <v>172</v>
      </c>
      <c r="D3" s="44" t="s">
        <v>173</v>
      </c>
      <c r="E3" s="44" t="s">
        <v>174</v>
      </c>
      <c r="F3" s="44" t="s">
        <v>175</v>
      </c>
      <c r="G3" s="44" t="s">
        <v>176</v>
      </c>
      <c r="H3" s="44" t="s">
        <v>177</v>
      </c>
      <c r="I3" s="44" t="s">
        <v>178</v>
      </c>
      <c r="J3" s="44" t="s">
        <v>179</v>
      </c>
      <c r="K3" s="44" t="s">
        <v>180</v>
      </c>
      <c r="L3" s="44" t="s">
        <v>181</v>
      </c>
    </row>
    <row r="4" spans="1:12" ht="18.75">
      <c r="A4" s="11">
        <v>1</v>
      </c>
      <c r="B4" s="44" t="s">
        <v>182</v>
      </c>
      <c r="C4" s="43">
        <v>1</v>
      </c>
      <c r="D4" s="43">
        <v>2</v>
      </c>
      <c r="E4" s="43">
        <v>1</v>
      </c>
      <c r="F4" s="43">
        <v>0</v>
      </c>
      <c r="G4" s="43">
        <v>1</v>
      </c>
      <c r="H4" s="43">
        <v>1</v>
      </c>
      <c r="I4" s="43">
        <v>0</v>
      </c>
      <c r="J4" s="43">
        <v>0</v>
      </c>
      <c r="K4" s="43">
        <v>1</v>
      </c>
      <c r="L4" s="43">
        <v>0</v>
      </c>
    </row>
    <row r="5" spans="1:12" ht="18.75">
      <c r="A5" s="11">
        <v>2</v>
      </c>
      <c r="B5" s="44" t="s">
        <v>183</v>
      </c>
      <c r="C5" s="43">
        <v>1</v>
      </c>
      <c r="D5" s="43">
        <v>2</v>
      </c>
      <c r="E5" s="43">
        <v>0</v>
      </c>
      <c r="F5" s="43">
        <v>0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3">
        <v>0</v>
      </c>
    </row>
    <row r="6" spans="1:12" ht="18.75">
      <c r="A6" s="11">
        <v>3</v>
      </c>
      <c r="B6" s="44" t="s">
        <v>184</v>
      </c>
      <c r="C6" s="45">
        <v>1</v>
      </c>
      <c r="D6" s="43">
        <v>2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</row>
    <row r="7" spans="1:12" ht="18.75">
      <c r="A7" s="11">
        <v>4</v>
      </c>
      <c r="B7" s="44" t="s">
        <v>185</v>
      </c>
      <c r="C7" s="45">
        <v>1</v>
      </c>
      <c r="D7" s="43">
        <v>2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</row>
    <row r="8" spans="1:12" ht="18.75">
      <c r="A8" s="11">
        <v>5</v>
      </c>
      <c r="B8" s="44" t="s">
        <v>186</v>
      </c>
      <c r="C8" s="45">
        <v>1</v>
      </c>
      <c r="D8" s="43">
        <v>2</v>
      </c>
      <c r="E8" s="46">
        <v>11</v>
      </c>
      <c r="F8" s="46">
        <v>0</v>
      </c>
      <c r="G8" s="46">
        <v>11</v>
      </c>
      <c r="H8" s="46">
        <v>11</v>
      </c>
      <c r="I8" s="46">
        <v>0</v>
      </c>
      <c r="J8" s="46">
        <v>0</v>
      </c>
      <c r="K8" s="46">
        <v>11</v>
      </c>
      <c r="L8" s="46">
        <v>0</v>
      </c>
    </row>
    <row r="9" spans="1:12" ht="18.75">
      <c r="A9" s="11">
        <v>6</v>
      </c>
      <c r="B9" s="44" t="s">
        <v>187</v>
      </c>
      <c r="C9" s="45">
        <v>1</v>
      </c>
      <c r="D9" s="43">
        <v>2</v>
      </c>
      <c r="E9" s="43">
        <v>2</v>
      </c>
      <c r="F9" s="43">
        <v>0</v>
      </c>
      <c r="G9" s="43">
        <v>2</v>
      </c>
      <c r="H9" s="43">
        <v>2</v>
      </c>
      <c r="I9" s="43">
        <v>0</v>
      </c>
      <c r="J9" s="43">
        <v>0</v>
      </c>
      <c r="K9" s="43">
        <v>2</v>
      </c>
      <c r="L9" s="43">
        <v>0</v>
      </c>
    </row>
    <row r="10" spans="1:12" ht="18.75">
      <c r="A10" s="11">
        <v>7</v>
      </c>
      <c r="B10" s="44" t="s">
        <v>188</v>
      </c>
      <c r="C10" s="45">
        <v>1</v>
      </c>
      <c r="D10" s="43">
        <v>2</v>
      </c>
      <c r="E10" s="43">
        <v>2</v>
      </c>
      <c r="F10" s="43">
        <v>0</v>
      </c>
      <c r="G10" s="43">
        <v>2</v>
      </c>
      <c r="H10" s="43">
        <v>2</v>
      </c>
      <c r="I10" s="43">
        <v>0</v>
      </c>
      <c r="J10" s="43">
        <v>0</v>
      </c>
      <c r="K10" s="43">
        <v>2</v>
      </c>
      <c r="L10" s="43">
        <v>0</v>
      </c>
    </row>
    <row r="11" spans="1:12" ht="18.75">
      <c r="A11" s="11">
        <v>8</v>
      </c>
      <c r="B11" s="44" t="s">
        <v>189</v>
      </c>
      <c r="C11" s="45">
        <v>1</v>
      </c>
      <c r="D11" s="43">
        <v>2</v>
      </c>
      <c r="E11" s="43">
        <v>0</v>
      </c>
      <c r="F11" s="115">
        <v>0</v>
      </c>
      <c r="G11" s="43">
        <v>0</v>
      </c>
      <c r="H11" s="43">
        <v>0</v>
      </c>
      <c r="I11" s="115">
        <v>0</v>
      </c>
      <c r="J11" s="115">
        <v>0</v>
      </c>
      <c r="K11" s="43">
        <v>0</v>
      </c>
      <c r="L11" s="115">
        <v>0</v>
      </c>
    </row>
    <row r="12" spans="1:12" ht="18.75">
      <c r="A12" s="11">
        <v>9</v>
      </c>
      <c r="B12" s="44" t="s">
        <v>190</v>
      </c>
      <c r="C12" s="45">
        <v>1</v>
      </c>
      <c r="D12" s="43">
        <v>2</v>
      </c>
      <c r="E12" s="43">
        <v>9</v>
      </c>
      <c r="F12" s="43">
        <v>0</v>
      </c>
      <c r="G12" s="43">
        <v>9</v>
      </c>
      <c r="H12" s="43">
        <v>9</v>
      </c>
      <c r="I12" s="43">
        <v>0</v>
      </c>
      <c r="J12" s="43">
        <v>0</v>
      </c>
      <c r="K12" s="43">
        <v>9</v>
      </c>
      <c r="L12" s="43">
        <v>0</v>
      </c>
    </row>
    <row r="13" spans="1:12" ht="18.75">
      <c r="A13" s="11">
        <v>10</v>
      </c>
      <c r="B13" s="44" t="s">
        <v>191</v>
      </c>
      <c r="C13" s="45">
        <v>1</v>
      </c>
      <c r="D13" s="43">
        <v>2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</row>
    <row r="14" spans="1:12" ht="18.75">
      <c r="A14" s="11">
        <v>11</v>
      </c>
      <c r="B14" s="44" t="s">
        <v>212</v>
      </c>
      <c r="C14" s="45">
        <v>1</v>
      </c>
      <c r="D14" s="43">
        <v>2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</row>
    <row r="15" spans="1:12" ht="18.75">
      <c r="A15" s="11">
        <v>12</v>
      </c>
      <c r="B15" s="44" t="s">
        <v>213</v>
      </c>
      <c r="C15" s="45">
        <v>1</v>
      </c>
      <c r="D15" s="43">
        <v>2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</row>
    <row r="16" spans="1:12" ht="18.75">
      <c r="A16" s="164" t="s">
        <v>192</v>
      </c>
      <c r="B16" s="165"/>
      <c r="C16" s="105">
        <v>10</v>
      </c>
      <c r="D16" s="85">
        <v>20</v>
      </c>
      <c r="E16" s="106">
        <f>SUM(E4:E15)</f>
        <v>25</v>
      </c>
      <c r="F16" s="106">
        <v>0</v>
      </c>
      <c r="G16" s="106">
        <f>SUM(G4:G15)</f>
        <v>25</v>
      </c>
      <c r="H16" s="106">
        <f>SUM(H4:H15)</f>
        <v>25</v>
      </c>
      <c r="I16" s="106">
        <v>0</v>
      </c>
      <c r="J16" s="106">
        <v>0</v>
      </c>
      <c r="K16" s="106">
        <f>SUM(K4:K15)</f>
        <v>25</v>
      </c>
      <c r="L16" s="106">
        <v>0</v>
      </c>
    </row>
    <row r="17" spans="1:12" ht="18.7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2" ht="18.7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2" ht="18.7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18.75">
      <c r="A20" s="16"/>
      <c r="B20" s="16"/>
      <c r="C20" s="16"/>
      <c r="D20" s="47" t="s">
        <v>193</v>
      </c>
      <c r="E20" s="16"/>
      <c r="F20" s="16"/>
      <c r="G20" s="16"/>
      <c r="H20" s="16"/>
      <c r="I20" s="16"/>
      <c r="J20" s="16"/>
      <c r="K20" s="16"/>
      <c r="L20" s="16"/>
    </row>
    <row r="21" spans="1:12" ht="18.7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18.7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ht="18.7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18.7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</sheetData>
  <mergeCells count="3">
    <mergeCell ref="B1:L1"/>
    <mergeCell ref="K2:L2"/>
    <mergeCell ref="A16:B16"/>
  </mergeCells>
  <pageMargins left="0.7" right="0.7" top="0.75" bottom="0.75" header="0.3" footer="0.3"/>
  <pageSetup paperSize="9" orientation="portrait" verticalDpi="0" copies="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8"/>
  <sheetViews>
    <sheetView zoomScale="50" zoomScaleNormal="50" workbookViewId="0">
      <selection activeCell="R5" sqref="R5"/>
    </sheetView>
  </sheetViews>
  <sheetFormatPr defaultRowHeight="15"/>
  <cols>
    <col min="2" max="2" width="12.28515625" customWidth="1"/>
    <col min="3" max="3" width="13.7109375" customWidth="1"/>
    <col min="4" max="4" width="11.42578125" customWidth="1"/>
    <col min="5" max="5" width="12.85546875" customWidth="1"/>
    <col min="6" max="6" width="12.28515625" customWidth="1"/>
    <col min="7" max="7" width="12.5703125" customWidth="1"/>
    <col min="8" max="8" width="13.140625" customWidth="1"/>
    <col min="9" max="9" width="14.28515625" customWidth="1"/>
    <col min="10" max="10" width="13.42578125" customWidth="1"/>
    <col min="11" max="11" width="14.28515625" customWidth="1"/>
    <col min="12" max="12" width="13.42578125" customWidth="1"/>
  </cols>
  <sheetData>
    <row r="1" spans="1:12" ht="18.75">
      <c r="A1" s="16"/>
      <c r="B1" s="121" t="s">
        <v>170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2" spans="1:12" ht="18.75">
      <c r="A2" s="16"/>
      <c r="B2" s="16"/>
      <c r="C2" s="16"/>
      <c r="D2" s="16"/>
      <c r="E2" s="16"/>
      <c r="F2" s="16"/>
      <c r="G2" s="16"/>
      <c r="H2" s="16"/>
      <c r="I2" s="16"/>
      <c r="J2" s="42" t="s">
        <v>201</v>
      </c>
      <c r="K2" s="163" t="s">
        <v>211</v>
      </c>
      <c r="L2" s="163"/>
    </row>
    <row r="3" spans="1:12" ht="261.75" customHeight="1">
      <c r="A3" s="43" t="s">
        <v>0</v>
      </c>
      <c r="B3" s="43" t="s">
        <v>171</v>
      </c>
      <c r="C3" s="44" t="s">
        <v>172</v>
      </c>
      <c r="D3" s="44" t="s">
        <v>173</v>
      </c>
      <c r="E3" s="44" t="s">
        <v>174</v>
      </c>
      <c r="F3" s="44" t="s">
        <v>175</v>
      </c>
      <c r="G3" s="44" t="s">
        <v>176</v>
      </c>
      <c r="H3" s="44" t="s">
        <v>177</v>
      </c>
      <c r="I3" s="44" t="s">
        <v>178</v>
      </c>
      <c r="J3" s="44" t="s">
        <v>179</v>
      </c>
      <c r="K3" s="44" t="s">
        <v>180</v>
      </c>
      <c r="L3" s="44" t="s">
        <v>181</v>
      </c>
    </row>
    <row r="4" spans="1:12" ht="18.75">
      <c r="A4" s="11">
        <v>1</v>
      </c>
      <c r="B4" s="44" t="s">
        <v>182</v>
      </c>
      <c r="C4" s="43">
        <v>1</v>
      </c>
      <c r="D4" s="43">
        <v>2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</row>
    <row r="5" spans="1:12" ht="18.75">
      <c r="A5" s="11">
        <v>2</v>
      </c>
      <c r="B5" s="44" t="s">
        <v>183</v>
      </c>
      <c r="C5" s="43">
        <v>1</v>
      </c>
      <c r="D5" s="43">
        <v>2</v>
      </c>
      <c r="E5" s="43">
        <v>4</v>
      </c>
      <c r="F5" s="43">
        <v>0</v>
      </c>
      <c r="G5" s="43">
        <v>4</v>
      </c>
      <c r="H5" s="43">
        <v>4</v>
      </c>
      <c r="I5" s="43">
        <v>0</v>
      </c>
      <c r="J5" s="43">
        <v>0</v>
      </c>
      <c r="K5" s="43">
        <v>4</v>
      </c>
      <c r="L5" s="43">
        <v>0</v>
      </c>
    </row>
    <row r="6" spans="1:12" ht="18.75">
      <c r="A6" s="11">
        <v>3</v>
      </c>
      <c r="B6" s="44" t="s">
        <v>184</v>
      </c>
      <c r="C6" s="45">
        <v>1</v>
      </c>
      <c r="D6" s="43">
        <v>2</v>
      </c>
      <c r="E6" s="45">
        <v>4</v>
      </c>
      <c r="F6" s="45">
        <v>0</v>
      </c>
      <c r="G6" s="45">
        <v>4</v>
      </c>
      <c r="H6" s="45">
        <v>4</v>
      </c>
      <c r="I6" s="45">
        <v>0</v>
      </c>
      <c r="J6" s="45">
        <v>0</v>
      </c>
      <c r="K6" s="45">
        <v>4</v>
      </c>
      <c r="L6" s="43">
        <v>0</v>
      </c>
    </row>
    <row r="7" spans="1:12" ht="18.75">
      <c r="A7" s="11">
        <v>4</v>
      </c>
      <c r="B7" s="44" t="s">
        <v>185</v>
      </c>
      <c r="C7" s="45">
        <v>1</v>
      </c>
      <c r="D7" s="43">
        <v>2</v>
      </c>
      <c r="E7" s="43">
        <v>1</v>
      </c>
      <c r="F7" s="43">
        <v>0</v>
      </c>
      <c r="G7" s="43">
        <v>1</v>
      </c>
      <c r="H7" s="43">
        <v>1</v>
      </c>
      <c r="I7" s="43">
        <v>0</v>
      </c>
      <c r="J7" s="43">
        <v>0</v>
      </c>
      <c r="K7" s="43">
        <v>1</v>
      </c>
      <c r="L7" s="43">
        <v>0</v>
      </c>
    </row>
    <row r="8" spans="1:12" ht="18.75">
      <c r="A8" s="11">
        <v>5</v>
      </c>
      <c r="B8" s="44" t="s">
        <v>186</v>
      </c>
      <c r="C8" s="45">
        <v>1</v>
      </c>
      <c r="D8" s="43">
        <v>2</v>
      </c>
      <c r="E8" s="46">
        <v>8</v>
      </c>
      <c r="F8" s="46">
        <v>0</v>
      </c>
      <c r="G8" s="46">
        <v>8</v>
      </c>
      <c r="H8" s="46">
        <v>8</v>
      </c>
      <c r="I8" s="46">
        <v>0</v>
      </c>
      <c r="J8" s="46">
        <v>0</v>
      </c>
      <c r="K8" s="46">
        <v>8</v>
      </c>
      <c r="L8" s="43">
        <v>0</v>
      </c>
    </row>
    <row r="9" spans="1:12" ht="18.75">
      <c r="A9" s="11">
        <v>6</v>
      </c>
      <c r="B9" s="44" t="s">
        <v>187</v>
      </c>
      <c r="C9" s="45">
        <v>1</v>
      </c>
      <c r="D9" s="43">
        <v>2</v>
      </c>
      <c r="E9" s="43">
        <v>7</v>
      </c>
      <c r="F9" s="43">
        <v>0</v>
      </c>
      <c r="G9" s="43">
        <v>7</v>
      </c>
      <c r="H9" s="43">
        <v>7</v>
      </c>
      <c r="I9" s="43">
        <v>0</v>
      </c>
      <c r="J9" s="43">
        <v>0</v>
      </c>
      <c r="K9" s="43">
        <v>7</v>
      </c>
      <c r="L9" s="43">
        <v>0</v>
      </c>
    </row>
    <row r="10" spans="1:12" ht="18.75">
      <c r="A10" s="11">
        <v>7</v>
      </c>
      <c r="B10" s="44" t="s">
        <v>188</v>
      </c>
      <c r="C10" s="45">
        <v>1</v>
      </c>
      <c r="D10" s="43">
        <v>2</v>
      </c>
      <c r="E10" s="43">
        <v>4</v>
      </c>
      <c r="F10" s="43">
        <v>0</v>
      </c>
      <c r="G10" s="43">
        <v>4</v>
      </c>
      <c r="H10" s="43">
        <v>4</v>
      </c>
      <c r="I10" s="43">
        <v>0</v>
      </c>
      <c r="J10" s="43">
        <v>0</v>
      </c>
      <c r="K10" s="43">
        <v>4</v>
      </c>
      <c r="L10" s="43">
        <v>0</v>
      </c>
    </row>
    <row r="11" spans="1:12" ht="18.75">
      <c r="A11" s="11">
        <v>8</v>
      </c>
      <c r="B11" s="44" t="s">
        <v>189</v>
      </c>
      <c r="C11" s="45">
        <v>1</v>
      </c>
      <c r="D11" s="43">
        <v>2</v>
      </c>
      <c r="E11" s="43">
        <v>2</v>
      </c>
      <c r="F11" s="115">
        <v>0</v>
      </c>
      <c r="G11" s="43">
        <v>2</v>
      </c>
      <c r="H11" s="43">
        <v>2</v>
      </c>
      <c r="I11" s="43">
        <v>0</v>
      </c>
      <c r="J11" s="43">
        <v>0</v>
      </c>
      <c r="K11" s="43">
        <v>2</v>
      </c>
      <c r="L11" s="43">
        <v>0</v>
      </c>
    </row>
    <row r="12" spans="1:12" ht="18.75">
      <c r="A12" s="11">
        <v>9</v>
      </c>
      <c r="B12" s="44" t="s">
        <v>190</v>
      </c>
      <c r="C12" s="45">
        <v>1</v>
      </c>
      <c r="D12" s="43">
        <v>2</v>
      </c>
      <c r="E12" s="43">
        <v>21</v>
      </c>
      <c r="F12" s="43">
        <v>0</v>
      </c>
      <c r="G12" s="43">
        <v>21</v>
      </c>
      <c r="H12" s="43">
        <v>21</v>
      </c>
      <c r="I12" s="43">
        <v>0</v>
      </c>
      <c r="J12" s="43">
        <v>0</v>
      </c>
      <c r="K12" s="43">
        <v>21</v>
      </c>
      <c r="L12" s="43">
        <v>0</v>
      </c>
    </row>
    <row r="13" spans="1:12" ht="18.75">
      <c r="A13" s="11">
        <v>10</v>
      </c>
      <c r="B13" s="44" t="s">
        <v>191</v>
      </c>
      <c r="C13" s="45">
        <v>1</v>
      </c>
      <c r="D13" s="43">
        <v>2</v>
      </c>
      <c r="E13" s="43">
        <v>3</v>
      </c>
      <c r="F13" s="43">
        <v>0</v>
      </c>
      <c r="G13" s="43">
        <v>3</v>
      </c>
      <c r="H13" s="43">
        <v>3</v>
      </c>
      <c r="I13" s="43">
        <v>0</v>
      </c>
      <c r="J13" s="43">
        <v>0</v>
      </c>
      <c r="K13" s="43">
        <v>3</v>
      </c>
      <c r="L13" s="43">
        <v>0</v>
      </c>
    </row>
    <row r="14" spans="1:12" ht="18.75">
      <c r="A14" s="164" t="s">
        <v>192</v>
      </c>
      <c r="B14" s="165"/>
      <c r="C14" s="105">
        <v>10</v>
      </c>
      <c r="D14" s="85">
        <v>20</v>
      </c>
      <c r="E14" s="106">
        <f t="shared" ref="E14:K14" si="0">SUM(E4:E13)</f>
        <v>54</v>
      </c>
      <c r="F14" s="106">
        <f t="shared" si="0"/>
        <v>0</v>
      </c>
      <c r="G14" s="106">
        <f t="shared" si="0"/>
        <v>54</v>
      </c>
      <c r="H14" s="106">
        <f t="shared" si="0"/>
        <v>54</v>
      </c>
      <c r="I14" s="106">
        <f t="shared" si="0"/>
        <v>0</v>
      </c>
      <c r="J14" s="106">
        <f t="shared" si="0"/>
        <v>0</v>
      </c>
      <c r="K14" s="106">
        <f t="shared" si="0"/>
        <v>54</v>
      </c>
      <c r="L14" s="107">
        <v>0</v>
      </c>
    </row>
    <row r="15" spans="1:12" ht="18.7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 ht="18.7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2" ht="18.7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2" ht="18.75">
      <c r="A18" s="16"/>
      <c r="B18" s="16"/>
      <c r="C18" s="16"/>
      <c r="D18" s="47" t="s">
        <v>193</v>
      </c>
      <c r="E18" s="16"/>
      <c r="F18" s="16"/>
      <c r="G18" s="16"/>
      <c r="H18" s="16"/>
      <c r="I18" s="16"/>
      <c r="J18" s="16"/>
      <c r="K18" s="16"/>
      <c r="L18" s="16"/>
    </row>
  </sheetData>
  <mergeCells count="3">
    <mergeCell ref="B1:L1"/>
    <mergeCell ref="K2:L2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1-жадвал</vt:lpstr>
      <vt:lpstr>2-жадвал</vt:lpstr>
      <vt:lpstr>3-жадвал</vt:lpstr>
      <vt:lpstr>4-жадвал</vt:lpstr>
      <vt:lpstr>5-жадвал</vt:lpstr>
      <vt:lpstr>6-жадвал</vt:lpstr>
      <vt:lpstr>7-жадвал</vt:lpstr>
      <vt:lpstr>8-жадвал</vt:lpstr>
      <vt:lpstr>9-жадвал</vt:lpstr>
      <vt:lpstr>10-жадвал</vt:lpstr>
      <vt:lpstr>11-жадвал</vt:lpstr>
      <vt:lpstr>ПОР</vt:lpstr>
      <vt:lpstr>ПОР август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2025-11-04T12:11:45Z</dcterms:modified>
</cp:coreProperties>
</file>